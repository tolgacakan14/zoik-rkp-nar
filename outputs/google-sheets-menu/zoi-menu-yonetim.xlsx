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283074ba4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önetim" sheetId="1" r:id="Rdf29cd6f2a8d4d45"/>
    <x:sheet xmlns:r="http://schemas.openxmlformats.org/officeDocument/2006/relationships" name="Menü" sheetId="2" r:id="R1864e8479c3f48ba"/>
    <x:sheet xmlns:r="http://schemas.openxmlformats.org/officeDocument/2006/relationships" name="Nargile" sheetId="3" r:id="R23e1b76c2b3a49e5"/>
    <x:sheet xmlns:r="http://schemas.openxmlformats.org/officeDocument/2006/relationships" name="Ayarlar" sheetId="4" r:id="R16d60013b2f94a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 ₺&quot;"/>
    <x:numFmt numFmtId="201" formatCode="#,##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03B34"/>
      <x:name val="Carlito"/>
    </x:font>
    <x:font>
      <x:b/>
      <x:sz val="11"/>
      <x:color rgb="FFFFFFFF"/>
      <x:name val="Carlito"/>
    </x:font>
    <x:font>
      <x:b/>
      <x:sz val="14"/>
      <x:color rgb="FF203B34"/>
      <x:name val="Carlito"/>
    </x:font>
    <x:font>
      <x:i/>
      <x:sz val="11"/>
      <x:color rgb="FF5F6C67"/>
      <x:name val="Carlito"/>
    </x:font>
    <x:font>
      <x:sz val="10"/>
      <x:color rgb="FF203B34"/>
      <x:name val="Aptos"/>
    </x:font>
    <x:font>
      <x:b/>
      <x:sz val="10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203B34"/>
      </x:patternFill>
    </x:fill>
    <x:fill>
      <x:patternFill patternType="solid">
        <x:fgColor rgb="FFEEF2EC"/>
      </x:patternFill>
    </x:fill>
    <x:fill>
      <x:patternFill patternType="solid">
        <x:fgColor rgb="FF6F8980"/>
      </x:patternFill>
    </x:fill>
    <x:fill>
      <x:patternFill patternType="solid">
        <x:fgColor rgb="FFF7F4ED"/>
      </x:patternFill>
    </x:fill>
    <x:fill>
      <x:patternFill patternType="solid">
        <x:fgColor rgb="FFB56D54"/>
      </x:patternFill>
    </x:fill>
    <x:fill>
      <x:patternFill patternType="solid">
        <x:fgColor rgb="FFFAF8F3"/>
      </x:patternFill>
    </x:fill>
    <x:fill>
      <x:patternFill patternType="solid">
        <x:fgColor rgb="FFFFF9E8"/>
      </x:patternFill>
    </x:fill>
  </x:fills>
  <x:borders count="5">
    <x:border/>
    <x:border>
      <x:bottom style="double">
        <x:color rgb="FFD8C9B8"/>
      </x:bottom>
    </x:border>
    <x:border>
      <x:left style="thin">
        <x:color rgb="FFD8C9B8"/>
      </x:left>
      <x:right style="thin">
        <x:color rgb="FFD8C9B8"/>
      </x:right>
      <x:top style="thin">
        <x:color rgb="FFD8C9B8"/>
      </x:top>
      <x:bottom style="thin">
        <x:color rgb="FFD8C9B8"/>
      </x:bottom>
    </x:border>
    <x:border>
      <x:left style="thin">
        <x:color rgb="FFE7E0D7"/>
      </x:left>
      <x:right style="thin">
        <x:color rgb="FFE7E0D7"/>
      </x:right>
      <x:top style="thin">
        <x:color rgb="FFE7E0D7"/>
      </x:top>
      <x:bottom style="thin">
        <x:color rgb="FFE7E0D7"/>
      </x:bottom>
    </x:border>
    <x:border>
      <x:left style="thin">
        <x:color rgb="FF6F8980"/>
      </x:left>
      <x:right style="thin">
        <x:color rgb="FF6F8980"/>
      </x:right>
      <x:top style="thin">
        <x:color rgb="FF6F8980"/>
      </x:top>
      <x:bottom style="thin">
        <x:color rgb="FF6F8980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3" xfId="0" applyNumberFormat="1" applyFont="1" applyFill="1" applyBorder="1"/>
    <x:xf numFmtId="0" fontId="6" fillId="0" borderId="3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7" fillId="2" borderId="3" xfId="0" applyNumberFormat="1" applyFont="1" applyFill="1" applyBorder="1" applyAlignment="1">
      <x:alignment vertical="center"/>
    </x:xf>
    <x:xf numFmtId="0" fontId="7" fillId="2" borderId="4" xfId="0" applyNumberFormat="1" applyFont="1" applyFill="1" applyBorder="1" applyAlignment="1">
      <x:alignment vertical="center"/>
    </x:xf>
    <x:xf numFmtId="0" fontId="7" fillId="2" borderId="4" xfId="0" applyNumberFormat="1" applyFont="1" applyFill="1" applyBorder="1" applyAlignment="1">
      <x:alignment vertic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8" borderId="3" xfId="0" applyNumberFormat="1" applyFont="1" applyFill="1" applyBorder="1" applyAlignment="1">
      <x:alignment vertical="center" wrapText="1"/>
    </x:xf>
    <x:xf numFmtId="200" fontId="6" fillId="8" borderId="3" xfId="0" applyNumberFormat="1" applyFont="1" applyFill="1" applyBorder="1" applyAlignment="1">
      <x:alignment vertical="center" wrapText="1"/>
    </x:xf>
    <x:xf numFmtId="201" fontId="6" fillId="8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235D34"/>
      </x:font>
      <x:fill>
        <x:patternFill patternType="solid">
          <x:bgColor rgb="FFDDEBDD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i/>
        <x:color rgb="FF666666"/>
      </x:font>
      <x:fill>
        <x:patternFill patternType="solid">
          <x:bgColor rgb="FFE7E6E6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i/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8c93e0da942ab" /><Relationship Type="http://schemas.openxmlformats.org/officeDocument/2006/relationships/theme" Target="/xl/theme/theme1.xml" Id="Rb176ef0dbe784988" /><Relationship Type="http://schemas.openxmlformats.org/officeDocument/2006/relationships/sharedStrings" Target="/xl/sharedStrings.xml" Id="R986d5da81daf49bf" /><Relationship Type="http://schemas.openxmlformats.org/officeDocument/2006/relationships/worksheet" Target="/xl/worksheets/sheet1.xml" Id="Rdf29cd6f2a8d4d45" /><Relationship Type="http://schemas.openxmlformats.org/officeDocument/2006/relationships/worksheet" Target="/xl/worksheets/sheet2.xml" Id="R1864e8479c3f48ba" /><Relationship Type="http://schemas.openxmlformats.org/officeDocument/2006/relationships/worksheet" Target="/xl/worksheets/sheet3.xml" Id="R23e1b76c2b3a49e5" /><Relationship Type="http://schemas.openxmlformats.org/officeDocument/2006/relationships/worksheet" Target="/xl/worksheets/sheet4.xml" Id="R16d60013b2f94a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B34"/>
  </x:sheetPr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8" customHeight="1">
      <x:c r="A1" s="3" t="str">
        <x:v>ZOI KIRKPINAR · MENÜ YÖNETİMİ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28" customHeight="1"/>
    <x:row r="4" ht="28" customHeight="1">
      <x:c r="A4" s="6" t="str">
        <x:v>CANLI ÖZET</x:v>
      </x:c>
      <x:c r="B4" s="6" t="str"/>
      <x:c r="C4" s="6" t="str"/>
      <x:c r="D4" s="6" t="str"/>
      <x:c r="E4" s="6" t="str"/>
      <x:c r="F4" s="6" t="str"/>
      <x:c r="G4" s="6" t="str"/>
      <x:c r="H4" s="6" t="str"/>
    </x:row>
    <x:row r="5" ht="28" customHeight="1"/>
    <x:row r="6" ht="28" customHeight="1">
      <x:c r="A6" s="9" t="str">
        <x:v>Toplam ürün</x:v>
      </x:c>
      <x:c r="B6" s="9" t="str">
        <x:v>Aktif</x:v>
      </x:c>
      <x:c r="C6" s="9" t="str">
        <x:v>Tükendi</x:v>
      </x:c>
      <x:c r="D6" s="9" t="str">
        <x:v>Gizli</x:v>
      </x:c>
      <x:c r="E6" s="9" t="str">
        <x:v>Eksik fiyat</x:v>
      </x:c>
      <x:c r="F6" s="9" t="str">
        <x:v>Nargile aroması</x:v>
      </x:c>
      <x:c r="G6" s="9" t="str">
        <x:v>Aktif aroma</x:v>
      </x:c>
      <x:c r="H6" s="9" t="str">
        <x:v>Kontrol</x:v>
      </x:c>
    </x:row>
    <x:row r="7" ht="28" customHeight="1">
      <x:c r="A7" s="13" t="n">
        <x:f>COUNTA(Menü!E2:E200)</x:f>
        <x:v>76</x:v>
      </x:c>
      <x:c r="B7" s="13" t="n">
        <x:f>COUNTIF(Menü!I2:I200,"Aktif")</x:f>
        <x:v>76</x:v>
      </x:c>
      <x:c r="C7" s="13" t="n">
        <x:f>COUNTIF(Menü!I2:I200,"Tükendi")</x:f>
        <x:v>0</x:v>
      </x:c>
      <x:c r="D7" s="13" t="n">
        <x:f>COUNTIF(Menü!I2:I200,"Gizli")</x:f>
        <x:v>0</x:v>
      </x:c>
      <x:c r="E7" s="13" t="n">
        <x:f>COUNTBLANK(Menü!H2:H77)</x:f>
        <x:v>0</x:v>
      </x:c>
      <x:c r="F7" s="13" t="n">
        <x:f>COUNTA(Nargile!B2:B100)</x:f>
        <x:v>25</x:v>
      </x:c>
      <x:c r="G7" s="13" t="n">
        <x:f>COUNTIF(Nargile!E2:E100,"Aktif")</x:f>
        <x:v>25</x:v>
      </x:c>
      <x:c r="H7" s="13" t="str">
        <x:f>IF(OR(E7&gt;0,A7=0),"KONTROL ET","HAZIR")</x:f>
        <x:v>HAZIR</x:v>
      </x:c>
    </x:row>
    <x:row r="8" ht="28" customHeight="1"/>
    <x:row r="9" ht="28" customHeight="1"/>
    <x:row r="10" ht="28" customHeight="1">
      <x:c r="A10" s="15" t="str">
        <x:v>KAFE EKİBİ İÇİN KULLANIM</x:v>
      </x:c>
      <x:c r="B10" s="15"/>
      <x:c r="C10" s="15"/>
      <x:c r="D10" s="15"/>
      <x:c r="E10" s="15"/>
      <x:c r="F10" s="15"/>
      <x:c r="G10" s="15"/>
      <x:c r="H10" s="15"/>
    </x:row>
    <x:row r="11" ht="28" customHeight="1"/>
    <x:row r="12" ht="28" customHeight="1">
      <x:c r="A12" s="18" t="str">
        <x:v>1</x:v>
      </x:c>
      <x:c r="B12" s="19" t="str">
        <x:v>Fiyat güncelle</x:v>
      </x:c>
      <x:c r="C12" s="20" t="str">
        <x:v>Menü sekmesinde “fiyat” hücresini değiştir.</x:v>
      </x:c>
      <x:c r="D12" s="20"/>
      <x:c r="E12" s="20"/>
      <x:c r="F12" s="20"/>
      <x:c r="G12" s="20"/>
      <x:c r="H12" s="20"/>
    </x:row>
    <x:row r="13" ht="28" customHeight="1">
      <x:c r="A13" s="18" t="str">
        <x:v>2</x:v>
      </x:c>
      <x:c r="B13" s="19" t="str">
        <x:v>Stok yönet</x:v>
      </x:c>
      <x:c r="C13" s="20" t="str">
        <x:v>“durum” alanını Aktif, Tükendi veya Gizli seç.</x:v>
      </x:c>
      <x:c r="D13" s="20"/>
      <x:c r="E13" s="20"/>
      <x:c r="F13" s="20"/>
      <x:c r="G13" s="20"/>
      <x:c r="H13" s="20"/>
    </x:row>
    <x:row r="14" ht="28" customHeight="1">
      <x:c r="A14" s="18" t="str">
        <x:v>3</x:v>
      </x:c>
      <x:c r="B14" s="19" t="str">
        <x:v>Ürün ekle</x:v>
      </x:c>
      <x:c r="C14" s="20" t="str">
        <x:v>Yeni satır ekle; ürün kodunu benzersiz tut ve kategori sırasını doldur.</x:v>
      </x:c>
      <x:c r="D14" s="20"/>
      <x:c r="E14" s="20"/>
      <x:c r="F14" s="20"/>
      <x:c r="G14" s="20"/>
      <x:c r="H14" s="20"/>
    </x:row>
    <x:row r="15" ht="28" customHeight="1">
      <x:c r="A15" s="18" t="str">
        <x:v>4</x:v>
      </x:c>
      <x:c r="B15" s="19" t="str">
        <x:v>Açıklama ve öneri</x:v>
      </x:c>
      <x:c r="C15" s="20" t="str">
        <x:v>Açıklama, karakter, yoğunluk ve öneri alanlarını düzenleyebilirsin.</x:v>
      </x:c>
      <x:c r="D15" s="20"/>
      <x:c r="E15" s="20"/>
      <x:c r="F15" s="20"/>
      <x:c r="G15" s="20"/>
      <x:c r="H15" s="20"/>
    </x:row>
    <x:row r="16" ht="28" customHeight="1">
      <x:c r="A16" s="18" t="str">
        <x:v>5</x:v>
      </x:c>
      <x:c r="B16" s="19" t="str">
        <x:v>Nargile yönet</x:v>
      </x:c>
      <x:c r="C16" s="20" t="str">
        <x:v>Nargile sekmesinde aroma adı, fiyat, durum, renk ve açıklamayı güncelle.</x:v>
      </x:c>
      <x:c r="D16" s="20"/>
      <x:c r="E16" s="20"/>
      <x:c r="F16" s="20"/>
      <x:c r="G16" s="20"/>
      <x:c r="H16" s="20"/>
    </x:row>
    <x:row r="17" ht="28" customHeight="1">
      <x:c r="A17" s="18" t="str">
        <x:v>6</x:v>
      </x:c>
      <x:c r="B17" s="19" t="str">
        <x:v>Servis fiyatları</x:v>
      </x:c>
      <x:c r="C17" s="20" t="str">
        <x:v>Ayarlar sekmesinde nargile serisi ve servis ek fiyatlarını güncelle.</x:v>
      </x:c>
      <x:c r="D17" s="20"/>
      <x:c r="E17" s="20"/>
      <x:c r="F17" s="20"/>
      <x:c r="G17" s="20"/>
      <x:c r="H17" s="20"/>
    </x:row>
    <x:row r="18" ht="28" customHeight="1">
      <x:c r="A18" s="18" t="str">
        <x:v>7</x:v>
      </x:c>
      <x:c r="B18" s="19" t="str">
        <x:v>Önemli</x:v>
      </x:c>
      <x:c r="C18" s="20" t="str">
        <x:v>Başlık satırlarını ve ürün kodlarını değiştirme. Kişisel veri veya şifre ekleme.</x:v>
      </x:c>
      <x:c r="D18" s="20"/>
      <x:c r="E18" s="20"/>
      <x:c r="F18" s="20"/>
      <x:c r="G18" s="20"/>
      <x:c r="H18" s="20"/>
    </x:row>
    <x:row r="19" ht="28" customHeight="1"/>
    <x:row r="20" ht="28" customHeight="1">
      <x:c r="A20" s="22" t="str">
        <x:v>Değişiklikler Google Sheets üzerinden kaydedilir. Site bağlantısı geçici olarak kesilirse doğrulanmış yerel menü otomatik olarak kullanılır.</x:v>
      </x:c>
      <x:c r="B20" s="22"/>
      <x:c r="C20" s="22"/>
      <x:c r="D20" s="22"/>
      <x:c r="E20" s="22"/>
      <x:c r="F20" s="22"/>
      <x:c r="G20" s="22"/>
      <x:c r="H20" s="22"/>
    </x:row>
  </x:sheetData>
  <x:mergeCells>
    <x:mergeCell ref="A1:H2"/>
    <x:mergeCell ref="A10:H10"/>
    <x:mergeCell ref="C12:H12"/>
    <x:mergeCell ref="C13:H13"/>
    <x:mergeCell ref="C14:H14"/>
    <x:mergeCell ref="C15:H15"/>
    <x:mergeCell ref="C16:H16"/>
    <x:mergeCell ref="C17:H17"/>
    <x:mergeCell ref="C18:H18"/>
    <x:mergeCell ref="A20:H20"/>
  </x:mergeCells>
  <x:conditionalFormatting sqref="H7:H7">
    <x:cfRule type="containsText" dxfId="0" priority="1" operator="containsText" text="HAZIR"/>
    <x:cfRule type="containsText" dxfId="1" priority="2" operator="containsText" text="KONTRO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F89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20" hidden="0" customWidth="1"/>
    <x:col min="4" max="4" width="12" hidden="0" customWidth="1"/>
    <x:col min="5" max="5" width="12" hidden="0" customWidth="1"/>
    <x:col min="6" max="6" width="25" hidden="0" customWidth="1"/>
    <x:col min="7" max="7" width="12" hidden="0" customWidth="1"/>
    <x:col min="8" max="8" width="11" hidden="0" customWidth="1"/>
    <x:col min="9" max="9" width="12" hidden="0" customWidth="1"/>
    <x:col min="10" max="10" width="12" hidden="0" customWidth="1"/>
    <x:col min="11" max="11" width="34" hidden="0" customWidth="1"/>
    <x:col min="12" max="12" width="21" hidden="0" customWidth="1"/>
    <x:col min="13" max="13" width="10" hidden="0" customWidth="1"/>
    <x:col min="14" max="14" width="20" hidden="0" customWidth="1"/>
    <x:col min="15" max="15" width="42" hidden="0" customWidth="1"/>
    <x:col min="16" max="16" width="36" hidden="0" customWidth="1"/>
    <x:col min="17" max="17" width="28" hidden="0" customWidth="1"/>
  </x:cols>
  <x:sheetData>
    <x:row r="1" ht="25" customHeight="1">
      <x:c r="A1" s="30" t="str">
        <x:v>bölüm</x:v>
      </x:c>
      <x:c r="B1" s="30" t="str">
        <x:v>kategori_kodu</x:v>
      </x:c>
      <x:c r="C1" s="30" t="str">
        <x:v>kategori_adı</x:v>
      </x:c>
      <x:c r="D1" s="30" t="str">
        <x:v>kategori_sırası</x:v>
      </x:c>
      <x:c r="E1" s="30" t="str">
        <x:v>ürün_kodu</x:v>
      </x:c>
      <x:c r="F1" s="30" t="str">
        <x:v>ürün_adı</x:v>
      </x:c>
      <x:c r="G1" s="30" t="str">
        <x:v>ürün_sırası</x:v>
      </x:c>
      <x:c r="H1" s="30" t="str">
        <x:v>fiyat</x:v>
      </x:c>
      <x:c r="I1" s="30" t="str">
        <x:v>durum</x:v>
      </x:c>
      <x:c r="J1" s="30" t="str">
        <x:v>stok_adedi</x:v>
      </x:c>
      <x:c r="K1" s="30" t="str">
        <x:v>açıklama</x:v>
      </x:c>
      <x:c r="L1" s="30" t="str">
        <x:v>karakter</x:v>
      </x:c>
      <x:c r="M1" s="30" t="str">
        <x:v>yoğunluk</x:v>
      </x:c>
      <x:c r="N1" s="30" t="str">
        <x:v>önerilen_ürün_kodu</x:v>
      </x:c>
      <x:c r="O1" s="30" t="str">
        <x:v>öneri_notu</x:v>
      </x:c>
      <x:c r="P1" s="30" t="str">
        <x:v>görsel_url</x:v>
      </x:c>
      <x:c r="Q1" s="30" t="str">
        <x:v>son_güncelleme_notu</x:v>
      </x:c>
    </x:row>
    <x:row r="2" ht="25" customHeight="1">
      <x:c r="A2" s="32" t="str">
        <x:v>İçecekler</x:v>
      </x:c>
      <x:c r="B2" s="32" t="str">
        <x:v>espresso-bar</x:v>
      </x:c>
      <x:c r="C2" s="32" t="str">
        <x:v>Espresso Bar</x:v>
      </x:c>
      <x:c r="D2" s="32" t="n">
        <x:v>1</x:v>
      </x:c>
      <x:c r="E2" s="32" t="str">
        <x:v>1</x:v>
      </x:c>
      <x:c r="F2" s="32" t="str">
        <x:v>Espresso</x:v>
      </x:c>
      <x:c r="G2" s="32" t="n">
        <x:v>1</x:v>
      </x:c>
      <x:c r="H2" s="35" t="n">
        <x:v>160</x:v>
      </x:c>
      <x:c r="I2" s="34" t="str">
        <x:v>Aktif</x:v>
      </x:c>
      <x:c r="J2" s="34"/>
      <x:c r="K2" s="34" t="str">
        <x:v>Kısa fincanda kahvenin doğrudan karakteri.</x:v>
      </x:c>
      <x:c r="L2" s="34" t="str">
        <x:v>Kısa · tok</x:v>
      </x:c>
      <x:c r="M2" s="34" t="n">
        <x:v>4</x:v>
      </x:c>
      <x:c r="N2" s="34" t="str">
        <x:v>49</x:v>
      </x:c>
      <x:c r="O2" s="34" t="str">
        <x:v>Kahvenin belirgin gövdesi, San Sebastian’ın kremamsı dokusunu dengeler.</x:v>
      </x:c>
      <x:c r="P2" s="34" t="str">
        <x:v>/products/1.webp</x:v>
      </x:c>
      <x:c r="Q2" s="34" t="str"/>
    </x:row>
    <x:row r="3" ht="25" customHeight="1">
      <x:c r="A3" s="33" t="str">
        <x:v>İçecekler</x:v>
      </x:c>
      <x:c r="B3" s="33" t="str">
        <x:v>espresso-bar</x:v>
      </x:c>
      <x:c r="C3" s="33" t="str">
        <x:v>Espresso Bar</x:v>
      </x:c>
      <x:c r="D3" s="33" t="n">
        <x:v>1</x:v>
      </x:c>
      <x:c r="E3" s="33" t="str">
        <x:v>2</x:v>
      </x:c>
      <x:c r="F3" s="33" t="str">
        <x:v>Americano</x:v>
      </x:c>
      <x:c r="G3" s="33" t="n">
        <x:v>2</x:v>
      </x:c>
      <x:c r="H3" s="35" t="n">
        <x:v>190</x:v>
      </x:c>
      <x:c r="I3" s="34" t="str">
        <x:v>Aktif</x:v>
      </x:c>
      <x:c r="J3" s="34"/>
      <x:c r="K3" s="34" t="str">
        <x:v>Espressonun daha uzun ve sakin içimi.</x:v>
      </x:c>
      <x:c r="L3" s="34" t="str">
        <x:v>Uzun · sade</x:v>
      </x:c>
      <x:c r="M3" s="34" t="n">
        <x:v>2</x:v>
      </x:c>
      <x:c r="N3" s="34" t="str">
        <x:v>50</x:v>
      </x:c>
      <x:c r="O3" s="34" t="str">
        <x:v>Kahve notaları tiramisunun katmanlarıyla doğal bir bütünlük kurar.</x:v>
      </x:c>
      <x:c r="P3" s="34" t="str">
        <x:v>/products/2.webp</x:v>
      </x:c>
      <x:c r="Q3" s="34" t="str"/>
    </x:row>
    <x:row r="4" ht="25" customHeight="1">
      <x:c r="A4" s="32" t="str">
        <x:v>İçecekler</x:v>
      </x:c>
      <x:c r="B4" s="32" t="str">
        <x:v>espresso-bar</x:v>
      </x:c>
      <x:c r="C4" s="32" t="str">
        <x:v>Espresso Bar</x:v>
      </x:c>
      <x:c r="D4" s="32" t="n">
        <x:v>1</x:v>
      </x:c>
      <x:c r="E4" s="32" t="str">
        <x:v>3</x:v>
      </x:c>
      <x:c r="F4" s="32" t="str">
        <x:v>Türk Kahvesi</x:v>
      </x:c>
      <x:c r="G4" s="32" t="n">
        <x:v>3</x:v>
      </x:c>
      <x:c r="H4" s="35" t="n">
        <x:v>170</x:v>
      </x:c>
      <x:c r="I4" s="34" t="str">
        <x:v>Aktif</x:v>
      </x:c>
      <x:c r="J4" s="34"/>
      <x:c r="K4" s="34" t="str">
        <x:v>Yavaş içilen geleneksel fincan.</x:v>
      </x:c>
      <x:c r="L4" s="34" t="str">
        <x:v>Geleneksel · yoğun</x:v>
      </x:c>
      <x:c r="M4" s="34" t="n">
        <x:v>4</x:v>
      </x:c>
      <x:c r="N4" s="34" t="str">
        <x:v>51</x:v>
      </x:c>
      <x:c r="O4" s="34" t="str">
        <x:v>Kakao yoğunluğu fincandaki kavruk karakteri daha uzun hissettirir.</x:v>
      </x:c>
      <x:c r="P4" s="34" t="str">
        <x:v>/products/3.webp</x:v>
      </x:c>
      <x:c r="Q4" s="34" t="str"/>
    </x:row>
    <x:row r="5" ht="25" customHeight="1">
      <x:c r="A5" s="33" t="str">
        <x:v>İçecekler</x:v>
      </x:c>
      <x:c r="B5" s="33" t="str">
        <x:v>espresso-bar</x:v>
      </x:c>
      <x:c r="C5" s="33" t="str">
        <x:v>Espresso Bar</x:v>
      </x:c>
      <x:c r="D5" s="33" t="n">
        <x:v>1</x:v>
      </x:c>
      <x:c r="E5" s="33" t="str">
        <x:v>4</x:v>
      </x:c>
      <x:c r="F5" s="33" t="str">
        <x:v>Cafe Latte</x:v>
      </x:c>
      <x:c r="G5" s="33" t="n">
        <x:v>4</x:v>
      </x:c>
      <x:c r="H5" s="35" t="n">
        <x:v>230</x:v>
      </x:c>
      <x:c r="I5" s="34" t="str">
        <x:v>Aktif</x:v>
      </x:c>
      <x:c r="J5" s="34"/>
      <x:c r="K5" s="34" t="str">
        <x:v>Sütle yumuşayan dengeli kahve.</x:v>
      </x:c>
      <x:c r="L5" s="34" t="str">
        <x:v>Yumuşak · sütlü</x:v>
      </x:c>
      <x:c r="M5" s="34" t="n">
        <x:v>2</x:v>
      </x:c>
      <x:c r="N5" s="34" t="str">
        <x:v>52</x:v>
      </x:c>
      <x:c r="O5" s="34" t="str">
        <x:v>Profiterolün yumuşak çikolatası kahvenin net bitişini yuvarlar.</x:v>
      </x:c>
      <x:c r="P5" s="34" t="str">
        <x:v>/products/4.webp</x:v>
      </x:c>
      <x:c r="Q5" s="34" t="str"/>
    </x:row>
    <x:row r="6" ht="25" customHeight="1">
      <x:c r="A6" s="32" t="str">
        <x:v>İçecekler</x:v>
      </x:c>
      <x:c r="B6" s="32" t="str">
        <x:v>espresso-bar</x:v>
      </x:c>
      <x:c r="C6" s="32" t="str">
        <x:v>Espresso Bar</x:v>
      </x:c>
      <x:c r="D6" s="32" t="n">
        <x:v>1</x:v>
      </x:c>
      <x:c r="E6" s="32" t="str">
        <x:v>5</x:v>
      </x:c>
      <x:c r="F6" s="32" t="str">
        <x:v>Tahinli Latte</x:v>
      </x:c>
      <x:c r="G6" s="32" t="n">
        <x:v>5</x:v>
      </x:c>
      <x:c r="H6" s="35" t="n">
        <x:v>250</x:v>
      </x:c>
      <x:c r="I6" s="34" t="str">
        <x:v>Aktif</x:v>
      </x:c>
      <x:c r="J6" s="34"/>
      <x:c r="K6" s="34" t="str">
        <x:v>Latteye tahinin sıcak dokunuşu.</x:v>
      </x:c>
      <x:c r="L6" s="34" t="str">
        <x:v>Kremamsı · susamsı</x:v>
      </x:c>
      <x:c r="M6" s="34" t="n">
        <x:v>2</x:v>
      </x:c>
      <x:c r="N6" s="34" t="str">
        <x:v>53</x:v>
      </x:c>
      <x:c r="O6" s="34" t="str">
        <x:v>Soğuk ve sıcak kontrastı, kısa ama akılda kalan bir final verir.</x:v>
      </x:c>
      <x:c r="P6" s="34" t="str">
        <x:v>/products/5.webp</x:v>
      </x:c>
      <x:c r="Q6" s="34" t="str"/>
    </x:row>
    <x:row r="7" ht="25" customHeight="1">
      <x:c r="A7" s="33" t="str">
        <x:v>İçecekler</x:v>
      </x:c>
      <x:c r="B7" s="33" t="str">
        <x:v>espresso-bar</x:v>
      </x:c>
      <x:c r="C7" s="33" t="str">
        <x:v>Espresso Bar</x:v>
      </x:c>
      <x:c r="D7" s="33" t="n">
        <x:v>1</x:v>
      </x:c>
      <x:c r="E7" s="33" t="str">
        <x:v>6</x:v>
      </x:c>
      <x:c r="F7" s="33" t="str">
        <x:v>Piccolo Latte</x:v>
      </x:c>
      <x:c r="G7" s="33" t="n">
        <x:v>6</x:v>
      </x:c>
      <x:c r="H7" s="35" t="n">
        <x:v>200</x:v>
      </x:c>
      <x:c r="I7" s="34" t="str">
        <x:v>Aktif</x:v>
      </x:c>
      <x:c r="J7" s="34"/>
      <x:c r="K7" s="34" t="str">
        <x:v>Küçük ölçekte daha belirgin bir kahve-süt dengesi.</x:v>
      </x:c>
      <x:c r="L7" s="34" t="str">
        <x:v>Kısa · dengeli</x:v>
      </x:c>
      <x:c r="M7" s="34" t="n">
        <x:v>3</x:v>
      </x:c>
      <x:c r="N7" s="34" t="str">
        <x:v>49</x:v>
      </x:c>
      <x:c r="O7" s="34" t="str">
        <x:v>Kahvenin belirgin gövdesi, San Sebastian’ın kremamsı dokusunu dengeler.</x:v>
      </x:c>
      <x:c r="P7" s="34" t="str">
        <x:v>/products/6.png</x:v>
      </x:c>
      <x:c r="Q7" s="34" t="str"/>
    </x:row>
    <x:row r="8" ht="25" customHeight="1">
      <x:c r="A8" s="32" t="str">
        <x:v>İçecekler</x:v>
      </x:c>
      <x:c r="B8" s="32" t="str">
        <x:v>espresso-bar</x:v>
      </x:c>
      <x:c r="C8" s="32" t="str">
        <x:v>Espresso Bar</x:v>
      </x:c>
      <x:c r="D8" s="32" t="n">
        <x:v>1</x:v>
      </x:c>
      <x:c r="E8" s="32" t="str">
        <x:v>7</x:v>
      </x:c>
      <x:c r="F8" s="32" t="str">
        <x:v>Flat White</x:v>
      </x:c>
      <x:c r="G8" s="32" t="n">
        <x:v>7</x:v>
      </x:c>
      <x:c r="H8" s="35" t="n">
        <x:v>230</x:v>
      </x:c>
      <x:c r="I8" s="34" t="str">
        <x:v>Aktif</x:v>
      </x:c>
      <x:c r="J8" s="34"/>
      <x:c r="K8" s="34" t="str">
        <x:v>İnce süt dokusu, net bir kahve bitişi.</x:v>
      </x:c>
      <x:c r="L8" s="34" t="str">
        <x:v>Düz · kadifemsi</x:v>
      </x:c>
      <x:c r="M8" s="34" t="n">
        <x:v>3</x:v>
      </x:c>
      <x:c r="N8" s="34" t="str">
        <x:v>50</x:v>
      </x:c>
      <x:c r="O8" s="34" t="str">
        <x:v>Kahve notaları tiramisunun katmanlarıyla doğal bir bütünlük kurar.</x:v>
      </x:c>
      <x:c r="P8" s="34" t="str">
        <x:v>/products/7.webp</x:v>
      </x:c>
      <x:c r="Q8" s="34" t="str"/>
    </x:row>
    <x:row r="9" ht="25" customHeight="1">
      <x:c r="A9" s="33" t="str">
        <x:v>İçecekler</x:v>
      </x:c>
      <x:c r="B9" s="33" t="str">
        <x:v>espresso-bar</x:v>
      </x:c>
      <x:c r="C9" s="33" t="str">
        <x:v>Espresso Bar</x:v>
      </x:c>
      <x:c r="D9" s="33" t="n">
        <x:v>1</x:v>
      </x:c>
      <x:c r="E9" s="33" t="str">
        <x:v>8</x:v>
      </x:c>
      <x:c r="F9" s="33" t="str">
        <x:v>Cortado</x:v>
      </x:c>
      <x:c r="G9" s="33" t="n">
        <x:v>8</x:v>
      </x:c>
      <x:c r="H9" s="35" t="n">
        <x:v>210</x:v>
      </x:c>
      <x:c r="I9" s="34" t="str">
        <x:v>Aktif</x:v>
      </x:c>
      <x:c r="J9" s="34"/>
      <x:c r="K9" s="34" t="str">
        <x:v>Espresso ve az sütle kurulan sade denge.</x:v>
      </x:c>
      <x:c r="L9" s="34" t="str">
        <x:v>Kısa · dengeli</x:v>
      </x:c>
      <x:c r="M9" s="34" t="n">
        <x:v>3</x:v>
      </x:c>
      <x:c r="N9" s="34" t="str">
        <x:v>51</x:v>
      </x:c>
      <x:c r="O9" s="34" t="str">
        <x:v>Kakao yoğunluğu fincandaki kavruk karakteri daha uzun hissettirir.</x:v>
      </x:c>
      <x:c r="P9" s="34" t="str">
        <x:v>/products/8.png</x:v>
      </x:c>
      <x:c r="Q9" s="34" t="str"/>
    </x:row>
    <x:row r="10" ht="25" customHeight="1">
      <x:c r="A10" s="32" t="str">
        <x:v>İçecekler</x:v>
      </x:c>
      <x:c r="B10" s="32" t="str">
        <x:v>espresso-bar</x:v>
      </x:c>
      <x:c r="C10" s="32" t="str">
        <x:v>Espresso Bar</x:v>
      </x:c>
      <x:c r="D10" s="32" t="n">
        <x:v>1</x:v>
      </x:c>
      <x:c r="E10" s="32" t="str">
        <x:v>9</x:v>
      </x:c>
      <x:c r="F10" s="32" t="str">
        <x:v>Cappuccino</x:v>
      </x:c>
      <x:c r="G10" s="32" t="n">
        <x:v>9</x:v>
      </x:c>
      <x:c r="H10" s="35" t="n">
        <x:v>220</x:v>
      </x:c>
      <x:c r="I10" s="34" t="str">
        <x:v>Aktif</x:v>
      </x:c>
      <x:c r="J10" s="34"/>
      <x:c r="K10" s="34" t="str">
        <x:v>Köpüğün yumuşattığı klasik kahve.</x:v>
      </x:c>
      <x:c r="L10" s="34" t="str">
        <x:v>Hafif · köpüklü</x:v>
      </x:c>
      <x:c r="M10" s="34" t="n">
        <x:v>2</x:v>
      </x:c>
      <x:c r="N10" s="34" t="str">
        <x:v>52</x:v>
      </x:c>
      <x:c r="O10" s="34" t="str">
        <x:v>Profiterolün yumuşak çikolatası kahvenin net bitişini yuvarlar.</x:v>
      </x:c>
      <x:c r="P10" s="34" t="str">
        <x:v>/products/9.webp</x:v>
      </x:c>
      <x:c r="Q10" s="34" t="str"/>
    </x:row>
    <x:row r="11" ht="25" customHeight="1">
      <x:c r="A11" s="33" t="str">
        <x:v>İçecekler</x:v>
      </x:c>
      <x:c r="B11" s="33" t="str">
        <x:v>espresso-bar</x:v>
      </x:c>
      <x:c r="C11" s="33" t="str">
        <x:v>Espresso Bar</x:v>
      </x:c>
      <x:c r="D11" s="33" t="n">
        <x:v>1</x:v>
      </x:c>
      <x:c r="E11" s="33" t="str">
        <x:v>10</x:v>
      </x:c>
      <x:c r="F11" s="33" t="str">
        <x:v>Mocha</x:v>
      </x:c>
      <x:c r="G11" s="33" t="n">
        <x:v>10</x:v>
      </x:c>
      <x:c r="H11" s="35" t="n">
        <x:v>230</x:v>
      </x:c>
      <x:c r="I11" s="34" t="str">
        <x:v>Aktif</x:v>
      </x:c>
      <x:c r="J11" s="34"/>
      <x:c r="K11" s="34" t="str">
        <x:v>Kahve ile çikolatanın tanıdık birlikteliği.</x:v>
      </x:c>
      <x:c r="L11" s="34" t="str">
        <x:v>Çikolatalı · tok</x:v>
      </x:c>
      <x:c r="M11" s="34" t="n">
        <x:v>2</x:v>
      </x:c>
      <x:c r="N11" s="34" t="str">
        <x:v>53</x:v>
      </x:c>
      <x:c r="O11" s="34" t="str">
        <x:v>Soğuk ve sıcak kontrastı, kısa ama akılda kalan bir final verir.</x:v>
      </x:c>
      <x:c r="P11" s="34" t="str">
        <x:v>/products/10.webp</x:v>
      </x:c>
      <x:c r="Q11" s="34" t="str"/>
    </x:row>
    <x:row r="12" ht="25" customHeight="1">
      <x:c r="A12" s="32" t="str">
        <x:v>İçecekler</x:v>
      </x:c>
      <x:c r="B12" s="32" t="str">
        <x:v>espresso-bar</x:v>
      </x:c>
      <x:c r="C12" s="32" t="str">
        <x:v>Espresso Bar</x:v>
      </x:c>
      <x:c r="D12" s="32" t="n">
        <x:v>1</x:v>
      </x:c>
      <x:c r="E12" s="32" t="str">
        <x:v>11</x:v>
      </x:c>
      <x:c r="F12" s="32" t="str">
        <x:v>White Chocolate Mocha</x:v>
      </x:c>
      <x:c r="G12" s="32" t="n">
        <x:v>11</x:v>
      </x:c>
      <x:c r="H12" s="35" t="n">
        <x:v>250</x:v>
      </x:c>
      <x:c r="I12" s="34" t="str">
        <x:v>Aktif</x:v>
      </x:c>
      <x:c r="J12" s="34"/>
      <x:c r="K12" s="34" t="str">
        <x:v>Mocha çizgisinin daha yumuşak yorumu.</x:v>
      </x:c>
      <x:c r="L12" s="34" t="str">
        <x:v>Tatlı · kremamsı</x:v>
      </x:c>
      <x:c r="M12" s="34" t="n">
        <x:v>2</x:v>
      </x:c>
      <x:c r="N12" s="34" t="str">
        <x:v>49</x:v>
      </x:c>
      <x:c r="O12" s="34" t="str">
        <x:v>Kahvenin belirgin gövdesi, San Sebastian’ın kremamsı dokusunu dengeler.</x:v>
      </x:c>
      <x:c r="P12" s="34" t="str">
        <x:v>/products/11.webp</x:v>
      </x:c>
      <x:c r="Q12" s="34" t="str"/>
    </x:row>
    <x:row r="13" ht="25" customHeight="1">
      <x:c r="A13" s="33" t="str">
        <x:v>İçecekler</x:v>
      </x:c>
      <x:c r="B13" s="33" t="str">
        <x:v>espresso-bar</x:v>
      </x:c>
      <x:c r="C13" s="33" t="str">
        <x:v>Espresso Bar</x:v>
      </x:c>
      <x:c r="D13" s="33" t="n">
        <x:v>1</x:v>
      </x:c>
      <x:c r="E13" s="33" t="str">
        <x:v>12</x:v>
      </x:c>
      <x:c r="F13" s="33" t="str">
        <x:v>Filtre Kahve</x:v>
      </x:c>
      <x:c r="G13" s="33" t="n">
        <x:v>12</x:v>
      </x:c>
      <x:c r="H13" s="35" t="n">
        <x:v>210</x:v>
      </x:c>
      <x:c r="I13" s="34" t="str">
        <x:v>Aktif</x:v>
      </x:c>
      <x:c r="J13" s="34"/>
      <x:c r="K13" s="34" t="str">
        <x:v>Günün her saatine eşlik eden yalın fincan.</x:v>
      </x:c>
      <x:c r="L13" s="34" t="str">
        <x:v>Sade · uzun</x:v>
      </x:c>
      <x:c r="M13" s="34" t="n">
        <x:v>2</x:v>
      </x:c>
      <x:c r="N13" s="34" t="str">
        <x:v>50</x:v>
      </x:c>
      <x:c r="O13" s="34" t="str">
        <x:v>Kahve notaları tiramisunun katmanlarıyla doğal bir bütünlük kurar.</x:v>
      </x:c>
      <x:c r="P13" s="34" t="str">
        <x:v>/products/12.webp</x:v>
      </x:c>
      <x:c r="Q13" s="34" t="str"/>
    </x:row>
    <x:row r="14" ht="25" customHeight="1">
      <x:c r="A14" s="32" t="str">
        <x:v>İçecekler</x:v>
      </x:c>
      <x:c r="B14" s="32" t="str">
        <x:v>espresso-bar</x:v>
      </x:c>
      <x:c r="C14" s="32" t="str">
        <x:v>Espresso Bar</x:v>
      </x:c>
      <x:c r="D14" s="32" t="n">
        <x:v>1</x:v>
      </x:c>
      <x:c r="E14" s="32" t="str">
        <x:v>13</x:v>
      </x:c>
      <x:c r="F14" s="32" t="str">
        <x:v>Macchiato</x:v>
      </x:c>
      <x:c r="G14" s="32" t="n">
        <x:v>13</x:v>
      </x:c>
      <x:c r="H14" s="35" t="n">
        <x:v>160</x:v>
      </x:c>
      <x:c r="I14" s="34" t="str">
        <x:v>Aktif</x:v>
      </x:c>
      <x:c r="J14" s="34"/>
      <x:c r="K14" s="34" t="str">
        <x:v>Espressonun üzerinde küçük bir süt dokunuşu.</x:v>
      </x:c>
      <x:c r="L14" s="34" t="str">
        <x:v>Kısa · belirgin</x:v>
      </x:c>
      <x:c r="M14" s="34" t="n">
        <x:v>4</x:v>
      </x:c>
      <x:c r="N14" s="34" t="str">
        <x:v>51</x:v>
      </x:c>
      <x:c r="O14" s="34" t="str">
        <x:v>Kakao yoğunluğu fincandaki kavruk karakteri daha uzun hissettirir.</x:v>
      </x:c>
      <x:c r="P14" s="34" t="str">
        <x:v>/products/13.webp</x:v>
      </x:c>
      <x:c r="Q14" s="34" t="str"/>
    </x:row>
    <x:row r="15" ht="25" customHeight="1">
      <x:c r="A15" s="33" t="str">
        <x:v>İçecekler</x:v>
      </x:c>
      <x:c r="B15" s="33" t="str">
        <x:v>zoi-bar</x:v>
      </x:c>
      <x:c r="C15" s="33" t="str">
        <x:v>Zoi Bar</x:v>
      </x:c>
      <x:c r="D15" s="33" t="n">
        <x:v>2</x:v>
      </x:c>
      <x:c r="E15" s="33" t="str">
        <x:v>14</x:v>
      </x:c>
      <x:c r="F15" s="33" t="str">
        <x:v>Zebra Mocha</x:v>
      </x:c>
      <x:c r="G15" s="33" t="n">
        <x:v>1</x:v>
      </x:c>
      <x:c r="H15" s="35" t="n">
        <x:v>250</x:v>
      </x:c>
      <x:c r="I15" s="34" t="str">
        <x:v>Aktif</x:v>
      </x:c>
      <x:c r="J15" s="34"/>
      <x:c r="K15" s="34" t="str">
        <x:v>Mocha ailesinin kontrastlı Zoi yorumu.</x:v>
      </x:c>
      <x:c r="L15" s="34" t="str">
        <x:v>Katmanlı · çikolatalı</x:v>
      </x:c>
      <x:c r="M15" s="34" t="n">
        <x:v>2</x:v>
      </x:c>
      <x:c r="N15" s="34" t="str">
        <x:v>49</x:v>
      </x:c>
      <x:c r="O15" s="34" t="str">
        <x:v>Kremamsı tatlı, Zoi kahvesinin güçlü aromalarını sakinleştirir.</x:v>
      </x:c>
      <x:c r="P15" s="34" t="str">
        <x:v>/products/14.png</x:v>
      </x:c>
      <x:c r="Q15" s="34" t="str"/>
    </x:row>
    <x:row r="16" ht="25" customHeight="1">
      <x:c r="A16" s="32" t="str">
        <x:v>İçecekler</x:v>
      </x:c>
      <x:c r="B16" s="32" t="str">
        <x:v>zoi-bar</x:v>
      </x:c>
      <x:c r="C16" s="32" t="str">
        <x:v>Zoi Bar</x:v>
      </x:c>
      <x:c r="D16" s="32" t="n">
        <x:v>2</x:v>
      </x:c>
      <x:c r="E16" s="32" t="str">
        <x:v>15</x:v>
      </x:c>
      <x:c r="F16" s="32" t="str">
        <x:v>Caffe Miel</x:v>
      </x:c>
      <x:c r="G16" s="32" t="n">
        <x:v>2</x:v>
      </x:c>
      <x:c r="H16" s="35" t="n">
        <x:v>270</x:v>
      </x:c>
      <x:c r="I16" s="34" t="str">
        <x:v>Aktif</x:v>
      </x:c>
      <x:c r="J16" s="34"/>
      <x:c r="K16" s="34" t="str">
        <x:v>Yumuşak ve sıcak bir kahve molası.</x:v>
      </x:c>
      <x:c r="L16" s="34" t="str">
        <x:v>Yumuşak · aromatik</x:v>
      </x:c>
      <x:c r="M16" s="34" t="n">
        <x:v>2</x:v>
      </x:c>
      <x:c r="N16" s="34" t="str">
        <x:v>52</x:v>
      </x:c>
      <x:c r="O16" s="34" t="str">
        <x:v>Çikolatalı iki karakter, yumuşak ve uzun bir tatlı bitiş yaratır.</x:v>
      </x:c>
      <x:c r="P16" s="34" t="str">
        <x:v>/products/15.webp</x:v>
      </x:c>
      <x:c r="Q16" s="34" t="str"/>
    </x:row>
    <x:row r="17" ht="25" customHeight="1">
      <x:c r="A17" s="33" t="str">
        <x:v>İçecekler</x:v>
      </x:c>
      <x:c r="B17" s="33" t="str">
        <x:v>zoi-bar</x:v>
      </x:c>
      <x:c r="C17" s="33" t="str">
        <x:v>Zoi Bar</x:v>
      </x:c>
      <x:c r="D17" s="33" t="n">
        <x:v>2</x:v>
      </x:c>
      <x:c r="E17" s="33" t="str">
        <x:v>16</x:v>
      </x:c>
      <x:c r="F17" s="33" t="str">
        <x:v>Crazy Mocha</x:v>
      </x:c>
      <x:c r="G17" s="33" t="n">
        <x:v>3</x:v>
      </x:c>
      <x:c r="H17" s="35" t="n">
        <x:v>250</x:v>
      </x:c>
      <x:c r="I17" s="34" t="str">
        <x:v>Aktif</x:v>
      </x:c>
      <x:c r="J17" s="34"/>
      <x:c r="K17" s="34" t="str">
        <x:v>Klasik mocha çizgisinden daha cesur bir yorum.</x:v>
      </x:c>
      <x:c r="L17" s="34" t="str">
        <x:v>Belirgin · tatlı</x:v>
      </x:c>
      <x:c r="M17" s="34" t="n">
        <x:v>2</x:v>
      </x:c>
      <x:c r="N17" s="34" t="str">
        <x:v>53</x:v>
      </x:c>
      <x:c r="O17" s="34" t="str">
        <x:v>Dondurmanın sade serinliği aromatik kahveyi öne çıkarır.</x:v>
      </x:c>
      <x:c r="P17" s="34" t="str">
        <x:v>/products/16.png</x:v>
      </x:c>
      <x:c r="Q17" s="34" t="str"/>
    </x:row>
    <x:row r="18" ht="25" customHeight="1">
      <x:c r="A18" s="32" t="str">
        <x:v>İçecekler</x:v>
      </x:c>
      <x:c r="B18" s="32" t="str">
        <x:v>zoi-bar</x:v>
      </x:c>
      <x:c r="C18" s="32" t="str">
        <x:v>Zoi Bar</x:v>
      </x:c>
      <x:c r="D18" s="32" t="n">
        <x:v>2</x:v>
      </x:c>
      <x:c r="E18" s="32" t="str">
        <x:v>17</x:v>
      </x:c>
      <x:c r="F18" s="32" t="str">
        <x:v>Raspberry Mocha</x:v>
      </x:c>
      <x:c r="G18" s="32" t="n">
        <x:v>4</x:v>
      </x:c>
      <x:c r="H18" s="35" t="n">
        <x:v>250</x:v>
      </x:c>
      <x:c r="I18" s="34" t="str">
        <x:v>Aktif</x:v>
      </x:c>
      <x:c r="J18" s="34"/>
      <x:c r="K18" s="34" t="str">
        <x:v>Ahududu notasıyla değişen mocha dengesi.</x:v>
      </x:c>
      <x:c r="L18" s="34" t="str">
        <x:v>Meyvemsi · çikolatalı</x:v>
      </x:c>
      <x:c r="M18" s="34" t="n">
        <x:v>2</x:v>
      </x:c>
      <x:c r="N18" s="34" t="str">
        <x:v>50</x:v>
      </x:c>
      <x:c r="O18" s="34" t="str">
        <x:v>İmza kahvenin aromatik yapısı tiramisunun hafif katmanlarını tamamlar.</x:v>
      </x:c>
      <x:c r="P18" s="34" t="str">
        <x:v>/products/17.png</x:v>
      </x:c>
      <x:c r="Q18" s="34" t="str"/>
    </x:row>
    <x:row r="19" ht="25" customHeight="1">
      <x:c r="A19" s="33" t="str">
        <x:v>İçecekler</x:v>
      </x:c>
      <x:c r="B19" s="33" t="str">
        <x:v>ice-bar</x:v>
      </x:c>
      <x:c r="C19" s="33" t="str">
        <x:v>Ice Bar</x:v>
      </x:c>
      <x:c r="D19" s="33" t="n">
        <x:v>3</x:v>
      </x:c>
      <x:c r="E19" s="33" t="str">
        <x:v>18</x:v>
      </x:c>
      <x:c r="F19" s="33" t="str">
        <x:v>Ice Latte</x:v>
      </x:c>
      <x:c r="G19" s="33" t="n">
        <x:v>1</x:v>
      </x:c>
      <x:c r="H19" s="35" t="n">
        <x:v>280</x:v>
      </x:c>
      <x:c r="I19" s="34" t="str">
        <x:v>Aktif</x:v>
      </x:c>
      <x:c r="J19" s="34"/>
      <x:c r="K19" s="34" t="str">
        <x:v>Lattenin serin ve akışkan hali.</x:v>
      </x:c>
      <x:c r="L19" s="34" t="str">
        <x:v>Soğuk · sütlü</x:v>
      </x:c>
      <x:c r="M19" s="34" t="n">
        <x:v>2</x:v>
      </x:c>
      <x:c r="N19" s="34" t="str">
        <x:v>37</x:v>
      </x:c>
      <x:c r="O19" s="34" t="str">
        <x:v>Zeytin ve yeşillik notaları, soğuk kahvenin sade çizgisiyle dengelenir.</x:v>
      </x:c>
      <x:c r="P19" s="34" t="str">
        <x:v>/products/18.png</x:v>
      </x:c>
      <x:c r="Q19" s="34" t="str"/>
    </x:row>
    <x:row r="20" ht="25" customHeight="1">
      <x:c r="A20" s="32" t="str">
        <x:v>İçecekler</x:v>
      </x:c>
      <x:c r="B20" s="32" t="str">
        <x:v>ice-bar</x:v>
      </x:c>
      <x:c r="C20" s="32" t="str">
        <x:v>Ice Bar</x:v>
      </x:c>
      <x:c r="D20" s="32" t="n">
        <x:v>3</x:v>
      </x:c>
      <x:c r="E20" s="32" t="str">
        <x:v>19</x:v>
      </x:c>
      <x:c r="F20" s="32" t="str">
        <x:v>Ice Americano</x:v>
      </x:c>
      <x:c r="G20" s="32" t="n">
        <x:v>2</x:v>
      </x:c>
      <x:c r="H20" s="35" t="n">
        <x:v>260</x:v>
      </x:c>
      <x:c r="I20" s="34" t="str">
        <x:v>Aktif</x:v>
      </x:c>
      <x:c r="J20" s="34"/>
      <x:c r="K20" s="34" t="str">
        <x:v>Buzla açılan, sade ve uzun kahve.</x:v>
      </x:c>
      <x:c r="L20" s="34" t="str">
        <x:v>Soğuk · net</x:v>
      </x:c>
      <x:c r="M20" s="34" t="n">
        <x:v>2</x:v>
      </x:c>
      <x:c r="N20" s="34" t="str">
        <x:v>51</x:v>
      </x:c>
      <x:c r="O20" s="34" t="str">
        <x:v>Soğuk kahve ve kakao, tanıdık ama güçlü bir eşleşme kurar.</x:v>
      </x:c>
      <x:c r="P20" s="34" t="str">
        <x:v>/products/19.png</x:v>
      </x:c>
      <x:c r="Q20" s="34" t="str"/>
    </x:row>
    <x:row r="21" ht="25" customHeight="1">
      <x:c r="A21" s="33" t="str">
        <x:v>İçecekler</x:v>
      </x:c>
      <x:c r="B21" s="33" t="str">
        <x:v>ice-bar</x:v>
      </x:c>
      <x:c r="C21" s="33" t="str">
        <x:v>Ice Bar</x:v>
      </x:c>
      <x:c r="D21" s="33" t="n">
        <x:v>3</x:v>
      </x:c>
      <x:c r="E21" s="33" t="str">
        <x:v>20</x:v>
      </x:c>
      <x:c r="F21" s="33" t="str">
        <x:v>Ice Mocha</x:v>
      </x:c>
      <x:c r="G21" s="33" t="n">
        <x:v>3</x:v>
      </x:c>
      <x:c r="H21" s="35" t="n">
        <x:v>280</x:v>
      </x:c>
      <x:c r="I21" s="34" t="str">
        <x:v>Aktif</x:v>
      </x:c>
      <x:c r="J21" s="34"/>
      <x:c r="K21" s="34" t="str">
        <x:v>Mocha lezzetini serin bir molaya taşıyan seçim.</x:v>
      </x:c>
      <x:c r="L21" s="34" t="str">
        <x:v>Soğuk · çikolatalı</x:v>
      </x:c>
      <x:c r="M21" s="34" t="n">
        <x:v>2</x:v>
      </x:c>
      <x:c r="N21" s="34" t="str">
        <x:v>53</x:v>
      </x:c>
      <x:c r="O21" s="34" t="str">
        <x:v>İki serin dokunun buluşması hafif ve yazlık bir final oluşturur.</x:v>
      </x:c>
      <x:c r="P21" s="34" t="str">
        <x:v>/products/20.png</x:v>
      </x:c>
      <x:c r="Q21" s="34" t="str"/>
    </x:row>
    <x:row r="22" ht="25" customHeight="1">
      <x:c r="A22" s="32" t="str">
        <x:v>İçecekler</x:v>
      </x:c>
      <x:c r="B22" s="32" t="str">
        <x:v>ice-bar</x:v>
      </x:c>
      <x:c r="C22" s="32" t="str">
        <x:v>Ice Bar</x:v>
      </x:c>
      <x:c r="D22" s="32" t="n">
        <x:v>3</x:v>
      </x:c>
      <x:c r="E22" s="32" t="str">
        <x:v>21</x:v>
      </x:c>
      <x:c r="F22" s="32" t="str">
        <x:v>Ice Filtre</x:v>
      </x:c>
      <x:c r="G22" s="32" t="n">
        <x:v>4</x:v>
      </x:c>
      <x:c r="H22" s="35" t="n">
        <x:v>270</x:v>
      </x:c>
      <x:c r="I22" s="34" t="str">
        <x:v>Aktif</x:v>
      </x:c>
      <x:c r="J22" s="34"/>
      <x:c r="K22" s="34" t="str">
        <x:v>Filtre kahvenin buzla ferahlayan hali.</x:v>
      </x:c>
      <x:c r="L22" s="34" t="str">
        <x:v>Soğuk · sade</x:v>
      </x:c>
      <x:c r="M22" s="34" t="n">
        <x:v>2</x:v>
      </x:c>
      <x:c r="N22" s="34" t="str">
        <x:v>36</x:v>
      </x:c>
      <x:c r="O22" s="34" t="str">
        <x:v>Serin kahve, Caesary’nin kremamsı ve tuzlu yapısını hafifletir.</x:v>
      </x:c>
      <x:c r="P22" s="34" t="str">
        <x:v>/products/21.png</x:v>
      </x:c>
      <x:c r="Q22" s="34" t="str"/>
    </x:row>
    <x:row r="23" ht="25" customHeight="1">
      <x:c r="A23" s="33" t="str">
        <x:v>İçecekler</x:v>
      </x:c>
      <x:c r="B23" s="33" t="str">
        <x:v>ice-bar</x:v>
      </x:c>
      <x:c r="C23" s="33" t="str">
        <x:v>Ice Bar</x:v>
      </x:c>
      <x:c r="D23" s="33" t="n">
        <x:v>3</x:v>
      </x:c>
      <x:c r="E23" s="33" t="str">
        <x:v>22</x:v>
      </x:c>
      <x:c r="F23" s="33" t="str">
        <x:v>Ice Zebra Mocha</x:v>
      </x:c>
      <x:c r="G23" s="33" t="n">
        <x:v>5</x:v>
      </x:c>
      <x:c r="H23" s="35" t="n">
        <x:v>290</x:v>
      </x:c>
      <x:c r="I23" s="34" t="str">
        <x:v>Aktif</x:v>
      </x:c>
      <x:c r="J23" s="34"/>
      <x:c r="K23" s="34" t="str">
        <x:v>Katmanlı mocha karakteri, buzla birlikte.</x:v>
      </x:c>
      <x:c r="L23" s="34" t="str">
        <x:v>Soğuk · katmanlı</x:v>
      </x:c>
      <x:c r="M23" s="34" t="n">
        <x:v>2</x:v>
      </x:c>
      <x:c r="N23" s="34" t="str">
        <x:v>49</x:v>
      </x:c>
      <x:c r="O23" s="34" t="str">
        <x:v>Buzlu kahvenin ferahlığı yoğun tatlıya temiz bir kontrast verir.</x:v>
      </x:c>
      <x:c r="P23" s="34" t="str">
        <x:v>/products/22.png</x:v>
      </x:c>
      <x:c r="Q23" s="34" t="str"/>
    </x:row>
    <x:row r="24" ht="25" customHeight="1">
      <x:c r="A24" s="32" t="str">
        <x:v>İçecekler</x:v>
      </x:c>
      <x:c r="B24" s="32" t="str">
        <x:v>ice-bar</x:v>
      </x:c>
      <x:c r="C24" s="32" t="str">
        <x:v>Ice Bar</x:v>
      </x:c>
      <x:c r="D24" s="32" t="n">
        <x:v>3</x:v>
      </x:c>
      <x:c r="E24" s="32" t="str">
        <x:v>23</x:v>
      </x:c>
      <x:c r="F24" s="32" t="str">
        <x:v>Ice White Mocha</x:v>
      </x:c>
      <x:c r="G24" s="32" t="n">
        <x:v>6</x:v>
      </x:c>
      <x:c r="H24" s="35" t="n">
        <x:v>290</x:v>
      </x:c>
      <x:c r="I24" s="34" t="str">
        <x:v>Aktif</x:v>
      </x:c>
      <x:c r="J24" s="34"/>
      <x:c r="K24" s="34" t="str">
        <x:v>White mocha çizgisinin serin yorumu.</x:v>
      </x:c>
      <x:c r="L24" s="34" t="str">
        <x:v>Soğuk · kremamsı</x:v>
      </x:c>
      <x:c r="M24" s="34" t="n">
        <x:v>2</x:v>
      </x:c>
      <x:c r="N24" s="34" t="str">
        <x:v>37</x:v>
      </x:c>
      <x:c r="O24" s="34" t="str">
        <x:v>Zeytin ve yeşillik notaları, soğuk kahvenin sade çizgisiyle dengelenir.</x:v>
      </x:c>
      <x:c r="P24" s="34" t="str">
        <x:v>/products/23.png</x:v>
      </x:c>
      <x:c r="Q24" s="34" t="str"/>
    </x:row>
    <x:row r="25" ht="25" customHeight="1">
      <x:c r="A25" s="33" t="str">
        <x:v>İçecekler</x:v>
      </x:c>
      <x:c r="B25" s="33" t="str">
        <x:v>ice-bar</x:v>
      </x:c>
      <x:c r="C25" s="33" t="str">
        <x:v>Ice Bar</x:v>
      </x:c>
      <x:c r="D25" s="33" t="n">
        <x:v>3</x:v>
      </x:c>
      <x:c r="E25" s="33" t="str">
        <x:v>24</x:v>
      </x:c>
      <x:c r="F25" s="33" t="str">
        <x:v>Ice Flat White</x:v>
      </x:c>
      <x:c r="G25" s="33" t="n">
        <x:v>7</x:v>
      </x:c>
      <x:c r="H25" s="35" t="n">
        <x:v>290</x:v>
      </x:c>
      <x:c r="I25" s="34" t="str">
        <x:v>Aktif</x:v>
      </x:c>
      <x:c r="J25" s="34"/>
      <x:c r="K25" s="34" t="str">
        <x:v>Flat white dengesini daha ferah bir içimde buluşturur.</x:v>
      </x:c>
      <x:c r="L25" s="34" t="str">
        <x:v>Soğuk · dengeli</x:v>
      </x:c>
      <x:c r="M25" s="34" t="n">
        <x:v>3</x:v>
      </x:c>
      <x:c r="N25" s="34" t="str">
        <x:v>51</x:v>
      </x:c>
      <x:c r="O25" s="34" t="str">
        <x:v>Soğuk kahve ve kakao, tanıdık ama güçlü bir eşleşme kurar.</x:v>
      </x:c>
      <x:c r="P25" s="34" t="str">
        <x:v>/products/24.png</x:v>
      </x:c>
      <x:c r="Q25" s="34" t="str"/>
    </x:row>
    <x:row r="26" ht="25" customHeight="1">
      <x:c r="A26" s="32" t="str">
        <x:v>İçecekler</x:v>
      </x:c>
      <x:c r="B26" s="32" t="str">
        <x:v>ice-bar</x:v>
      </x:c>
      <x:c r="C26" s="32" t="str">
        <x:v>Ice Bar</x:v>
      </x:c>
      <x:c r="D26" s="32" t="n">
        <x:v>3</x:v>
      </x:c>
      <x:c r="E26" s="32" t="str">
        <x:v>25</x:v>
      </x:c>
      <x:c r="F26" s="32" t="str">
        <x:v>Affogato</x:v>
      </x:c>
      <x:c r="G26" s="32" t="n">
        <x:v>8</x:v>
      </x:c>
      <x:c r="H26" s="35" t="n">
        <x:v>250</x:v>
      </x:c>
      <x:c r="I26" s="34" t="str">
        <x:v>Aktif</x:v>
      </x:c>
      <x:c r="J26" s="34"/>
      <x:c r="K26" s="34" t="str">
        <x:v>Dondurma ile espressonun kısa buluşması.</x:v>
      </x:c>
      <x:c r="L26" s="34" t="str">
        <x:v>Tatlı · yoğun</x:v>
      </x:c>
      <x:c r="M26" s="34" t="n">
        <x:v>3</x:v>
      </x:c>
      <x:c r="N26" s="34" t="str">
        <x:v>53</x:v>
      </x:c>
      <x:c r="O26" s="34" t="str">
        <x:v>İki serin dokunun buluşması hafif ve yazlık bir final oluşturur.</x:v>
      </x:c>
      <x:c r="P26" s="34" t="str">
        <x:v>/products/25.png</x:v>
      </x:c>
      <x:c r="Q26" s="34" t="str"/>
    </x:row>
    <x:row r="27" ht="25" customHeight="1">
      <x:c r="A27" s="33" t="str">
        <x:v>İçecekler</x:v>
      </x:c>
      <x:c r="B27" s="33" t="str">
        <x:v>matcha</x:v>
      </x:c>
      <x:c r="C27" s="33" t="str">
        <x:v>Matcha</x:v>
      </x:c>
      <x:c r="D27" s="33" t="n">
        <x:v>4</x:v>
      </x:c>
      <x:c r="E27" s="33" t="str">
        <x:v>26</x:v>
      </x:c>
      <x:c r="F27" s="33" t="str">
        <x:v>Matcha Latte</x:v>
      </x:c>
      <x:c r="G27" s="33" t="n">
        <x:v>1</x:v>
      </x:c>
      <x:c r="H27" s="35" t="n">
        <x:v>280</x:v>
      </x:c>
      <x:c r="I27" s="34" t="str">
        <x:v>Aktif</x:v>
      </x:c>
      <x:c r="J27" s="34"/>
      <x:c r="K27" s="34" t="str">
        <x:v>İsteğe Bağlı ; Çilek , Vanilya , Yaban Mersini</x:v>
      </x:c>
      <x:c r="L27" s="34" t="str">
        <x:v>Bitkisel · yumuşak</x:v>
      </x:c>
      <x:c r="M27" s="34" t="n">
        <x:v>2</x:v>
      </x:c>
      <x:c r="N27" s="34" t="str">
        <x:v>53</x:v>
      </x:c>
      <x:c r="O27" s="34" t="str">
        <x:v>Dondurma, matchanın yeşil karakterini daha ipeksi hale getirir.</x:v>
      </x:c>
      <x:c r="P27" s="34" t="str">
        <x:v>/products/26.png</x:v>
      </x:c>
      <x:c r="Q27" s="34" t="str"/>
    </x:row>
    <x:row r="28" ht="25" customHeight="1">
      <x:c r="A28" s="32" t="str">
        <x:v>İçecekler</x:v>
      </x:c>
      <x:c r="B28" s="32" t="str">
        <x:v>matcha</x:v>
      </x:c>
      <x:c r="C28" s="32" t="str">
        <x:v>Matcha</x:v>
      </x:c>
      <x:c r="D28" s="32" t="n">
        <x:v>4</x:v>
      </x:c>
      <x:c r="E28" s="32" t="str">
        <x:v>27</x:v>
      </x:c>
      <x:c r="F28" s="32" t="str">
        <x:v>Ice Matcha Latte</x:v>
      </x:c>
      <x:c r="G28" s="32" t="n">
        <x:v>2</x:v>
      </x:c>
      <x:c r="H28" s="35" t="n">
        <x:v>280</x:v>
      </x:c>
      <x:c r="I28" s="34" t="str">
        <x:v>Aktif</x:v>
      </x:c>
      <x:c r="J28" s="34"/>
      <x:c r="K28" s="34" t="str">
        <x:v>İsteğe Bağlı ; Çilek , Vanilya veya Yaban Mersini</x:v>
      </x:c>
      <x:c r="L28" s="34" t="str">
        <x:v>Serin · bitkisel</x:v>
      </x:c>
      <x:c r="M28" s="34" t="n">
        <x:v>2</x:v>
      </x:c>
      <x:c r="N28" s="34" t="str">
        <x:v>37</x:v>
      </x:c>
      <x:c r="O28" s="34" t="str">
        <x:v>Taze ve bitkisel iki profil, hafif bir öğün eşleşmesi oluşturur.</x:v>
      </x:c>
      <x:c r="P28" s="34" t="str">
        <x:v>/products/27.png</x:v>
      </x:c>
      <x:c r="Q28" s="34" t="str"/>
    </x:row>
    <x:row r="29" ht="25" customHeight="1">
      <x:c r="A29" s="33" t="str">
        <x:v>İçecekler</x:v>
      </x:c>
      <x:c r="B29" s="33" t="str">
        <x:v>kokteyl</x:v>
      </x:c>
      <x:c r="C29" s="33" t="str">
        <x:v>Kokteyl</x:v>
      </x:c>
      <x:c r="D29" s="33" t="n">
        <x:v>5</x:v>
      </x:c>
      <x:c r="E29" s="33" t="str">
        <x:v>28</x:v>
      </x:c>
      <x:c r="F29" s="33" t="str">
        <x:v>White Purée</x:v>
      </x:c>
      <x:c r="G29" s="33" t="n">
        <x:v>1</x:v>
      </x:c>
      <x:c r="H29" s="35" t="n">
        <x:v>320</x:v>
      </x:c>
      <x:c r="I29" s="34" t="str">
        <x:v>Aktif</x:v>
      </x:c>
      <x:c r="J29" s="34"/>
      <x:c r="K29" s="34" t="str">
        <x:v>Kadifemsi dokusu ve zarif meyve notalarıyla öne çıkan, dengeli ve ferahlatıcı bir imza kokteyl</x:v>
      </x:c>
      <x:c r="L29" s="34" t="str"/>
      <x:c r="M29" s="34"/>
      <x:c r="N29" s="34" t="str">
        <x:v>39</x:v>
      </x:c>
      <x:c r="O29" s="34" t="str">
        <x:v>Tatlı-ekşi denge, Anatolia Melt’in sıcak ve baharatlı yapısını açar.</x:v>
      </x:c>
      <x:c r="P29" s="34" t="str">
        <x:v>https://img.gopos.com.tr/5L13gNcyZE/4f200c37-a489-48f8-b604-b4a3a249d643.webp</x:v>
      </x:c>
      <x:c r="Q29" s="34" t="str"/>
    </x:row>
    <x:row r="30" ht="25" customHeight="1">
      <x:c r="A30" s="32" t="str">
        <x:v>İçecekler</x:v>
      </x:c>
      <x:c r="B30" s="32" t="str">
        <x:v>kokteyl</x:v>
      </x:c>
      <x:c r="C30" s="32" t="str">
        <x:v>Kokteyl</x:v>
      </x:c>
      <x:c r="D30" s="32" t="n">
        <x:v>5</x:v>
      </x:c>
      <x:c r="E30" s="32" t="str">
        <x:v>29</x:v>
      </x:c>
      <x:c r="F30" s="32" t="str">
        <x:v>Chili</x:v>
      </x:c>
      <x:c r="G30" s="32" t="n">
        <x:v>2</x:v>
      </x:c>
      <x:c r="H30" s="35" t="n">
        <x:v>320</x:v>
      </x:c>
      <x:c r="I30" s="34" t="str">
        <x:v>Aktif</x:v>
      </x:c>
      <x:c r="J30" s="34"/>
      <x:c r="K30" s="34" t="str">
        <x:v>Çarkıfelek, Turunç, Arnavut Biberi. Baharatın cesur dokunuşunu ferah notalarla buluşturan, karakteri güçlü bir imza kokteyl.</x:v>
      </x:c>
      <x:c r="L30" s="34" t="str"/>
      <x:c r="M30" s="34"/>
      <x:c r="N30" s="34" t="str">
        <x:v>40</x:v>
      </x:c>
      <x:c r="O30" s="34" t="str">
        <x:v>Narenciye çizgisi Riviera’nın hafif Akdeniz karakterini tamamlar.</x:v>
      </x:c>
      <x:c r="P30" s="34" t="str">
        <x:v>https://img.gopos.com.tr/1/045696be-7e41-48dd-b2f7-24b0ce4ee4f8.webp</x:v>
      </x:c>
      <x:c r="Q30" s="34" t="str"/>
    </x:row>
    <x:row r="31" ht="25" customHeight="1">
      <x:c r="A31" s="33" t="str">
        <x:v>İçecekler</x:v>
      </x:c>
      <x:c r="B31" s="33" t="str">
        <x:v>kokteyl</x:v>
      </x:c>
      <x:c r="C31" s="33" t="str">
        <x:v>Kokteyl</x:v>
      </x:c>
      <x:c r="D31" s="33" t="n">
        <x:v>5</x:v>
      </x:c>
      <x:c r="E31" s="33" t="str">
        <x:v>30</x:v>
      </x:c>
      <x:c r="F31" s="33" t="str">
        <x:v>Velvet Kiss</x:v>
      </x:c>
      <x:c r="G31" s="33" t="n">
        <x:v>3</x:v>
      </x:c>
      <x:c r="H31" s="35" t="n">
        <x:v>300</x:v>
      </x:c>
      <x:c r="I31" s="34" t="str">
        <x:v>Aktif</x:v>
      </x:c>
      <x:c r="J31" s="34"/>
      <x:c r="K31" s="34" t="str">
        <x:v>Orman meyveleri ve limon</x:v>
      </x:c>
      <x:c r="L31" s="34" t="str"/>
      <x:c r="M31" s="34"/>
      <x:c r="N31" s="34" t="str">
        <x:v>44</x:v>
      </x:c>
      <x:c r="O31" s="34" t="str">
        <x:v>Paylaşımlık çıtır tabak, uzun kokteyl keyfine rahatça eşlik eder.</x:v>
      </x:c>
      <x:c r="P31" s="34" t="str"/>
      <x:c r="Q31" s="34" t="str"/>
    </x:row>
    <x:row r="32" ht="25" customHeight="1">
      <x:c r="A32" s="32" t="str">
        <x:v>İçecekler</x:v>
      </x:c>
      <x:c r="B32" s="32" t="str">
        <x:v>kokteyl</x:v>
      </x:c>
      <x:c r="C32" s="32" t="str">
        <x:v>Kokteyl</x:v>
      </x:c>
      <x:c r="D32" s="32" t="n">
        <x:v>5</x:v>
      </x:c>
      <x:c r="E32" s="32" t="str">
        <x:v>31</x:v>
      </x:c>
      <x:c r="F32" s="32" t="str">
        <x:v>Kuzu Kulağı</x:v>
      </x:c>
      <x:c r="G32" s="32" t="n">
        <x:v>4</x:v>
      </x:c>
      <x:c r="H32" s="35" t="n">
        <x:v>300</x:v>
      </x:c>
      <x:c r="I32" s="34" t="str">
        <x:v>Aktif</x:v>
      </x:c>
      <x:c r="J32" s="34"/>
      <x:c r="K32" s="34" t="str">
        <x:v>Yeşil Elma , Kuzu Kulağı ve Limon</x:v>
      </x:c>
      <x:c r="L32" s="34" t="str"/>
      <x:c r="M32" s="34"/>
      <x:c r="N32" s="34" t="str">
        <x:v>36</x:v>
      </x:c>
      <x:c r="O32" s="34" t="str">
        <x:v>Canlı asidite Caesary’nin kremamsı dokusunu tazeler.</x:v>
      </x:c>
      <x:c r="P32" s="34" t="str"/>
      <x:c r="Q32" s="34" t="str"/>
    </x:row>
    <x:row r="33" ht="25" customHeight="1">
      <x:c r="A33" s="33" t="str">
        <x:v>İçecekler</x:v>
      </x:c>
      <x:c r="B33" s="33" t="str">
        <x:v>kokteyl</x:v>
      </x:c>
      <x:c r="C33" s="33" t="str">
        <x:v>Kokteyl</x:v>
      </x:c>
      <x:c r="D33" s="33" t="n">
        <x:v>5</x:v>
      </x:c>
      <x:c r="E33" s="33" t="str">
        <x:v>32</x:v>
      </x:c>
      <x:c r="F33" s="33" t="str">
        <x:v>Redbull Mojito</x:v>
      </x:c>
      <x:c r="G33" s="33" t="n">
        <x:v>5</x:v>
      </x:c>
      <x:c r="H33" s="35" t="n">
        <x:v>340</x:v>
      </x:c>
      <x:c r="I33" s="34" t="str">
        <x:v>Aktif</x:v>
      </x:c>
      <x:c r="J33" s="34"/>
      <x:c r="K33" s="34" t="str">
        <x:v>Esmer Şeker , Nane , Lime ve Redbull</x:v>
      </x:c>
      <x:c r="L33" s="34" t="str"/>
      <x:c r="M33" s="34"/>
      <x:c r="N33" s="34" t="str">
        <x:v>37</x:v>
      </x:c>
      <x:c r="O33" s="34" t="str">
        <x:v>Bitkisel kokteyl notaları Olive Garden’ın yeşil karakterini büyütür.</x:v>
      </x:c>
      <x:c r="P33" s="34" t="str"/>
      <x:c r="Q33" s="34" t="str"/>
    </x:row>
    <x:row r="34" ht="25" customHeight="1">
      <x:c r="A34" s="32" t="str">
        <x:v>İçecekler</x:v>
      </x:c>
      <x:c r="B34" s="32" t="str">
        <x:v>kokteyl</x:v>
      </x:c>
      <x:c r="C34" s="32" t="str">
        <x:v>Kokteyl</x:v>
      </x:c>
      <x:c r="D34" s="32" t="n">
        <x:v>5</x:v>
      </x:c>
      <x:c r="E34" s="32" t="str">
        <x:v>33</x:v>
      </x:c>
      <x:c r="F34" s="32" t="str">
        <x:v>Berry Hibiscus</x:v>
      </x:c>
      <x:c r="G34" s="32" t="n">
        <x:v>6</x:v>
      </x:c>
      <x:c r="H34" s="35" t="n">
        <x:v>300</x:v>
      </x:c>
      <x:c r="I34" s="34" t="str">
        <x:v>Aktif</x:v>
      </x:c>
      <x:c r="J34" s="34"/>
      <x:c r="K34" s="34" t="str">
        <x:v>Hibiscus Çayı ve Orman Meyveleri</x:v>
      </x:c>
      <x:c r="L34" s="34" t="str"/>
      <x:c r="M34" s="34"/>
      <x:c r="N34" s="34" t="str">
        <x:v>38</x:v>
      </x:c>
      <x:c r="O34" s="34" t="str">
        <x:v>Meyvemsi ferahlık trüfün güçlü aromasına temiz bir karşılık verir.</x:v>
      </x:c>
      <x:c r="P34" s="34" t="str"/>
      <x:c r="Q34" s="34" t="str"/>
    </x:row>
    <x:row r="35" ht="25" customHeight="1">
      <x:c r="A35" s="33" t="str">
        <x:v>İçecekler</x:v>
      </x:c>
      <x:c r="B35" s="33" t="str">
        <x:v>kokteyl</x:v>
      </x:c>
      <x:c r="C35" s="33" t="str">
        <x:v>Kokteyl</x:v>
      </x:c>
      <x:c r="D35" s="33" t="n">
        <x:v>5</x:v>
      </x:c>
      <x:c r="E35" s="33" t="str">
        <x:v>34</x:v>
      </x:c>
      <x:c r="F35" s="33" t="str">
        <x:v>Cool Lime</x:v>
      </x:c>
      <x:c r="G35" s="33" t="n">
        <x:v>7</x:v>
      </x:c>
      <x:c r="H35" s="35" t="n">
        <x:v>300</x:v>
      </x:c>
      <x:c r="I35" s="34" t="str">
        <x:v>Aktif</x:v>
      </x:c>
      <x:c r="J35" s="34"/>
      <x:c r="K35" s="34" t="str">
        <x:v>Lime özü ve Su</x:v>
      </x:c>
      <x:c r="L35" s="34" t="str"/>
      <x:c r="M35" s="34"/>
      <x:c r="N35" s="34" t="str">
        <x:v>39</x:v>
      </x:c>
      <x:c r="O35" s="34" t="str">
        <x:v>Tatlı-ekşi denge, Anatolia Melt’in sıcak ve baharatlı yapısını açar.</x:v>
      </x:c>
      <x:c r="P35" s="34" t="str"/>
      <x:c r="Q35" s="34" t="str"/>
    </x:row>
    <x:row r="36" ht="25" customHeight="1">
      <x:c r="A36" s="32" t="str">
        <x:v>İçecekler</x:v>
      </x:c>
      <x:c r="B36" s="32" t="str">
        <x:v>kokteyl</x:v>
      </x:c>
      <x:c r="C36" s="32" t="str">
        <x:v>Kokteyl</x:v>
      </x:c>
      <x:c r="D36" s="32" t="n">
        <x:v>5</x:v>
      </x:c>
      <x:c r="E36" s="32" t="str">
        <x:v>35</x:v>
      </x:c>
      <x:c r="F36" s="32" t="str">
        <x:v>Creamy Brezilian Lemonade</x:v>
      </x:c>
      <x:c r="G36" s="32" t="n">
        <x:v>8</x:v>
      </x:c>
      <x:c r="H36" s="35" t="n">
        <x:v>300</x:v>
      </x:c>
      <x:c r="I36" s="34" t="str">
        <x:v>Aktif</x:v>
      </x:c>
      <x:c r="J36" s="34"/>
      <x:c r="K36" s="34" t="str">
        <x:v>Limon ve Yoğunlaştırılmış Süt</x:v>
      </x:c>
      <x:c r="L36" s="34" t="str"/>
      <x:c r="M36" s="34"/>
      <x:c r="N36" s="34" t="str">
        <x:v>40</x:v>
      </x:c>
      <x:c r="O36" s="34" t="str">
        <x:v>Narenciye çizgisi Riviera’nın hafif Akdeniz karakterini tamamlar.</x:v>
      </x:c>
      <x:c r="P36" s="34" t="str"/>
      <x:c r="Q36" s="34" t="str"/>
    </x:row>
    <x:row r="37" ht="25" customHeight="1">
      <x:c r="A37" s="33" t="str">
        <x:v>Yiyecekler</x:v>
      </x:c>
      <x:c r="B37" s="33" t="str">
        <x:v>gurme-sandvic</x:v>
      </x:c>
      <x:c r="C37" s="33" t="str">
        <x:v>Gurme Sandviç</x:v>
      </x:c>
      <x:c r="D37" s="33" t="n">
        <x:v>6</x:v>
      </x:c>
      <x:c r="E37" s="33" t="str">
        <x:v>36</x:v>
      </x:c>
      <x:c r="F37" s="33" t="str">
        <x:v>Caesary</x:v>
      </x:c>
      <x:c r="G37" s="33" t="n">
        <x:v>1</x:v>
      </x:c>
      <x:c r="H37" s="35" t="n">
        <x:v>470</x:v>
      </x:c>
      <x:c r="I37" s="34" t="str">
        <x:v>Aktif</x:v>
      </x:c>
      <x:c r="J37" s="34"/>
      <x:c r="K37" s="34" t="str">
        <x:v>Sezar sos, hindi füme, marul, parmesan peyniri, zeytinyağı, kuru domates.</x:v>
      </x:c>
      <x:c r="L37" s="34" t="str"/>
      <x:c r="M37" s="34"/>
      <x:c r="N37" s="34" t="str">
        <x:v>18</x:v>
      </x:c>
      <x:c r="O37" s="34" t="str">
        <x:v>Buzlu latte sandviçin güçlü soslarını yumuşak bir kahveyle dengeler.</x:v>
      </x:c>
      <x:c r="P37" s="34" t="str">
        <x:v>https://img.gopos.com.tr/5L13gNcyZE/721b9880-895e-437d-80e1-194f4cee4162.webp</x:v>
      </x:c>
      <x:c r="Q37" s="34" t="str"/>
    </x:row>
    <x:row r="38" ht="25" customHeight="1">
      <x:c r="A38" s="32" t="str">
        <x:v>Yiyecekler</x:v>
      </x:c>
      <x:c r="B38" s="32" t="str">
        <x:v>gurme-sandvic</x:v>
      </x:c>
      <x:c r="C38" s="32" t="str">
        <x:v>Gurme Sandviç</x:v>
      </x:c>
      <x:c r="D38" s="32" t="n">
        <x:v>6</x:v>
      </x:c>
      <x:c r="E38" s="32" t="str">
        <x:v>37</x:v>
      </x:c>
      <x:c r="F38" s="32" t="str">
        <x:v>Olive Garden</x:v>
      </x:c>
      <x:c r="G38" s="32" t="n">
        <x:v>2</x:v>
      </x:c>
      <x:c r="H38" s="35" t="n">
        <x:v>400</x:v>
      </x:c>
      <x:c r="I38" s="34" t="str">
        <x:v>Aktif</x:v>
      </x:c>
      <x:c r="J38" s="34"/>
      <x:c r="K38" s="34" t="str">
        <x:v>Zeytin pate, domates, mozarella, roka, balzamik glaze sos.</x:v>
      </x:c>
      <x:c r="L38" s="34" t="str"/>
      <x:c r="M38" s="34"/>
      <x:c r="N38" s="34" t="str">
        <x:v>34</x:v>
      </x:c>
      <x:c r="O38" s="34" t="str">
        <x:v>Cool Lime’ın canlı asiditesi lokmalar arasında ferahlık sağlar.</x:v>
      </x:c>
      <x:c r="P38" s="34" t="str">
        <x:v>https://img.gopos.com.tr/5L13gNcyZE/bb8a0513-2cd2-4886-8d52-09c610704596.webp</x:v>
      </x:c>
      <x:c r="Q38" s="34" t="str"/>
    </x:row>
    <x:row r="39" ht="25" customHeight="1">
      <x:c r="A39" s="33" t="str">
        <x:v>Yiyecekler</x:v>
      </x:c>
      <x:c r="B39" s="33" t="str">
        <x:v>gurme-sandvic</x:v>
      </x:c>
      <x:c r="C39" s="33" t="str">
        <x:v>Gurme Sandviç</x:v>
      </x:c>
      <x:c r="D39" s="33" t="n">
        <x:v>6</x:v>
      </x:c>
      <x:c r="E39" s="33" t="str">
        <x:v>38</x:v>
      </x:c>
      <x:c r="F39" s="33" t="str">
        <x:v>Truffle Roast</x:v>
      </x:c>
      <x:c r="G39" s="33" t="n">
        <x:v>3</x:v>
      </x:c>
      <x:c r="H39" s="35" t="n">
        <x:v>550</x:v>
      </x:c>
      <x:c r="I39" s="34" t="str">
        <x:v>Aktif</x:v>
      </x:c>
      <x:c r="J39" s="34"/>
      <x:c r="K39" s="34" t="str">
        <x:v>Karabiberli roast beef, kaymak peyniri, eski kaşar, trüflü Zoi sos, roka, pesto sos.</x:v>
      </x:c>
      <x:c r="L39" s="34" t="str"/>
      <x:c r="M39" s="34"/>
      <x:c r="N39" s="34" t="str">
        <x:v>70</x:v>
      </x:c>
      <x:c r="O39" s="34" t="str">
        <x:v>Limonata, sandviçin sıcak ve tuzlu karakterini temiz bir bitişle açar.</x:v>
      </x:c>
      <x:c r="P39" s="34" t="str">
        <x:v>https://img.gopos.com.tr/5L13gNcyZE/9674e462-b36b-4621-a5d2-c59faea396b3.webp</x:v>
      </x:c>
      <x:c r="Q39" s="34" t="str"/>
    </x:row>
    <x:row r="40" ht="25" customHeight="1">
      <x:c r="A40" s="32" t="str">
        <x:v>Yiyecekler</x:v>
      </x:c>
      <x:c r="B40" s="32" t="str">
        <x:v>gurme-sandvic</x:v>
      </x:c>
      <x:c r="C40" s="32" t="str">
        <x:v>Gurme Sandviç</x:v>
      </x:c>
      <x:c r="D40" s="32" t="n">
        <x:v>6</x:v>
      </x:c>
      <x:c r="E40" s="32" t="str">
        <x:v>39</x:v>
      </x:c>
      <x:c r="F40" s="32" t="str">
        <x:v>Anatolia Melt</x:v>
      </x:c>
      <x:c r="G40" s="32" t="n">
        <x:v>4</x:v>
      </x:c>
      <x:c r="H40" s="35" t="n">
        <x:v>550</x:v>
      </x:c>
      <x:c r="I40" s="34" t="str">
        <x:v>Aktif</x:v>
      </x:c>
      <x:c r="J40" s="34"/>
      <x:c r="K40" s="34" t="str">
        <x:v>Gorgonzola, dana bacon, kuru et, otlu kaymak kreması, domates, zeytinyağı.</x:v>
      </x:c>
      <x:c r="L40" s="34" t="str"/>
      <x:c r="M40" s="34"/>
      <x:c r="N40" s="34" t="str">
        <x:v>74</x:v>
      </x:c>
      <x:c r="O40" s="34" t="str">
        <x:v>Doğal mineralli su, malzemelerin karakterini değiştirmeden damağı tazeler.</x:v>
      </x:c>
      <x:c r="P40" s="34" t="str">
        <x:v>https://img.gopos.com.tr/5L13gNcyZE/420c7447-df14-477e-93a1-88096aee80e6.webp</x:v>
      </x:c>
      <x:c r="Q40" s="34" t="str"/>
    </x:row>
    <x:row r="41" ht="25" customHeight="1">
      <x:c r="A41" s="33" t="str">
        <x:v>Yiyecekler</x:v>
      </x:c>
      <x:c r="B41" s="33" t="str">
        <x:v>gurme-sandvic</x:v>
      </x:c>
      <x:c r="C41" s="33" t="str">
        <x:v>Gurme Sandviç</x:v>
      </x:c>
      <x:c r="D41" s="33" t="n">
        <x:v>6</x:v>
      </x:c>
      <x:c r="E41" s="33" t="str">
        <x:v>40</x:v>
      </x:c>
      <x:c r="F41" s="33" t="str">
        <x:v>Riviera</x:v>
      </x:c>
      <x:c r="G41" s="33" t="n">
        <x:v>5</x:v>
      </x:c>
      <x:c r="H41" s="35" t="n">
        <x:v>450</x:v>
      </x:c>
      <x:c r="I41" s="34" t="str">
        <x:v>Aktif</x:v>
      </x:c>
      <x:c r="J41" s="34"/>
      <x:c r="K41" s="34" t="str">
        <x:v>%100 İtalyan dana salam, kaymak peyniri, taze kaşar, çeçil, rus salatası, marul, salatalık turşusu, trüflü mayonez.</x:v>
      </x:c>
      <x:c r="L41" s="34" t="str"/>
      <x:c r="M41" s="34"/>
      <x:c r="N41" s="34" t="str">
        <x:v>27</x:v>
      </x:c>
      <x:c r="O41" s="34" t="str">
        <x:v>Soğuk matcha, yeşil ve hafif aromalarla modern bir öğün dengesi kurar.</x:v>
      </x:c>
      <x:c r="P41" s="34" t="str">
        <x:v>https://img.gopos.com.tr/5L13gNcyZE/bfe7a3ce-2320-4f73-aebf-58f969128f6e.webp</x:v>
      </x:c>
      <x:c r="Q41" s="34" t="str"/>
    </x:row>
    <x:row r="42" ht="25" customHeight="1">
      <x:c r="A42" s="32" t="str">
        <x:v>Yiyecekler</x:v>
      </x:c>
      <x:c r="B42" s="32" t="str">
        <x:v>tostlar</x:v>
      </x:c>
      <x:c r="C42" s="32" t="str">
        <x:v>Tostlar</x:v>
      </x:c>
      <x:c r="D42" s="32" t="n">
        <x:v>7</x:v>
      </x:c>
      <x:c r="E42" s="32" t="str">
        <x:v>41</x:v>
      </x:c>
      <x:c r="F42" s="32" t="str">
        <x:v>Bol Kaşarlı</x:v>
      </x:c>
      <x:c r="G42" s="32" t="n">
        <x:v>1</x:v>
      </x:c>
      <x:c r="H42" s="35" t="n">
        <x:v>320</x:v>
      </x:c>
      <x:c r="I42" s="34" t="str">
        <x:v>Aktif</x:v>
      </x:c>
      <x:c r="J42" s="34"/>
      <x:c r="K42" s="34" t="str">
        <x:v>Bazlama ekmeği, taze kaşar peyniri. Yanında patates kızartması ve turşu ile.</x:v>
      </x:c>
      <x:c r="L42" s="34" t="str"/>
      <x:c r="M42" s="34"/>
      <x:c r="N42" s="34" t="str">
        <x:v>70</x:v>
      </x:c>
      <x:c r="O42" s="34" t="str">
        <x:v>Limonatanın asiditesi sıcak tosttan sonra ferah bir bitiş verir.</x:v>
      </x:c>
      <x:c r="P42" s="34" t="str">
        <x:v>https://img.gopos.com.tr/5L13gNcyZE/bd869036-0c57-40d1-b403-eaf7fdd5d140.webp</x:v>
      </x:c>
      <x:c r="Q42" s="34" t="str"/>
    </x:row>
    <x:row r="43" ht="25" customHeight="1">
      <x:c r="A43" s="33" t="str">
        <x:v>Yiyecekler</x:v>
      </x:c>
      <x:c r="B43" s="33" t="str">
        <x:v>tostlar</x:v>
      </x:c>
      <x:c r="C43" s="33" t="str">
        <x:v>Tostlar</x:v>
      </x:c>
      <x:c r="D43" s="33" t="n">
        <x:v>7</x:v>
      </x:c>
      <x:c r="E43" s="33" t="str">
        <x:v>42</x:v>
      </x:c>
      <x:c r="F43" s="33" t="str">
        <x:v>Geleneksel Sucuklu Kaşarlı</x:v>
      </x:c>
      <x:c r="G43" s="33" t="n">
        <x:v>2</x:v>
      </x:c>
      <x:c r="H43" s="35" t="n">
        <x:v>360</x:v>
      </x:c>
      <x:c r="I43" s="34" t="str">
        <x:v>Aktif</x:v>
      </x:c>
      <x:c r="J43" s="34"/>
      <x:c r="K43" s="34" t="str">
        <x:v>Bazlama ekmeği, sucuk, taze kaşar. Yanında patates kızartması ve turşu ile.</x:v>
      </x:c>
      <x:c r="L43" s="34" t="str"/>
      <x:c r="M43" s="34"/>
      <x:c r="N43" s="34" t="str">
        <x:v>63</x:v>
      </x:c>
      <x:c r="O43" s="34" t="str">
        <x:v>Churchill’in tuzlu ekşiliği tostun yoğunluğunu canlı tutar.</x:v>
      </x:c>
      <x:c r="P43" s="34" t="str">
        <x:v>https://img.gopos.com.tr/5L13gNcyZE/cebd29da-22a5-46ad-881e-e09f65363ab1.webp</x:v>
      </x:c>
      <x:c r="Q43" s="34" t="str"/>
    </x:row>
    <x:row r="44" ht="25" customHeight="1">
      <x:c r="A44" s="32" t="str">
        <x:v>Yiyecekler</x:v>
      </x:c>
      <x:c r="B44" s="32" t="str">
        <x:v>tostlar</x:v>
      </x:c>
      <x:c r="C44" s="32" t="str">
        <x:v>Tostlar</x:v>
      </x:c>
      <x:c r="D44" s="32" t="n">
        <x:v>7</x:v>
      </x:c>
      <x:c r="E44" s="32" t="str">
        <x:v>43</x:v>
      </x:c>
      <x:c r="F44" s="32" t="str">
        <x:v>Balkan Tost</x:v>
      </x:c>
      <x:c r="G44" s="32" t="n">
        <x:v>3</x:v>
      </x:c>
      <x:c r="H44" s="35" t="n">
        <x:v>390</x:v>
      </x:c>
      <x:c r="I44" s="34" t="str">
        <x:v>Aktif</x:v>
      </x:c>
      <x:c r="J44" s="34"/>
      <x:c r="K44" s="34" t="str">
        <x:v>Bazlama ekmeği, balkan sos, labne peyniri, kaşar ve kasap sucuk, kuru et. Yanında patates kızartması ve turşu ile.</x:v>
      </x:c>
      <x:c r="L44" s="34" t="str"/>
      <x:c r="M44" s="34"/>
      <x:c r="N44" s="34" t="str">
        <x:v>60</x:v>
      </x:c>
      <x:c r="O44" s="34" t="str">
        <x:v>Sıcak çayın sade yapısı tostun peynirli ve baharatlı dokusunu dengeler.</x:v>
      </x:c>
      <x:c r="P44" s="34" t="str">
        <x:v>https://img.gopos.com.tr/5L13gNcyZE/68cfac11-e109-4342-9488-29937ebc2fe4.webp</x:v>
      </x:c>
      <x:c r="Q44" s="34" t="str"/>
    </x:row>
    <x:row r="45" ht="25" customHeight="1">
      <x:c r="A45" s="33" t="str">
        <x:v>Yiyecekler</x:v>
      </x:c>
      <x:c r="B45" s="33" t="str">
        <x:v>baslangiclar</x:v>
      </x:c>
      <x:c r="C45" s="33" t="str">
        <x:v>Başlangıçlar</x:v>
      </x:c>
      <x:c r="D45" s="33" t="n">
        <x:v>8</x:v>
      </x:c>
      <x:c r="E45" s="33" t="str">
        <x:v>44</x:v>
      </x:c>
      <x:c r="F45" s="33" t="str">
        <x:v>Combo Tabağı</x:v>
      </x:c>
      <x:c r="G45" s="33" t="n">
        <x:v>1</x:v>
      </x:c>
      <x:c r="H45" s="35" t="n">
        <x:v>500</x:v>
      </x:c>
      <x:c r="I45" s="34" t="str">
        <x:v>Aktif</x:v>
      </x:c>
      <x:c r="J45" s="34"/>
      <x:c r="K45" s="34" t="str">
        <x:v>Patates kızartması, çıtır tavuk parçaları, soğan halkası, mozarella sticks</x:v>
      </x:c>
      <x:c r="L45" s="34" t="str"/>
      <x:c r="M45" s="34"/>
      <x:c r="N45" s="34" t="str">
        <x:v>70</x:v>
      </x:c>
      <x:c r="O45" s="34" t="str">
        <x:v>Limonata, kızartmanın yoğunluğunu hafif ve temiz bir finalle keser.</x:v>
      </x:c>
      <x:c r="P45" s="34" t="str">
        <x:v>https://img.gopos.com.tr/5L13gNcyZE/7423c51e-4cdd-47cc-9219-9148d1edc75f.webp</x:v>
      </x:c>
      <x:c r="Q45" s="34" t="str"/>
    </x:row>
    <x:row r="46" ht="25" customHeight="1">
      <x:c r="A46" s="32" t="str">
        <x:v>Yiyecekler</x:v>
      </x:c>
      <x:c r="B46" s="32" t="str">
        <x:v>baslangiclar</x:v>
      </x:c>
      <x:c r="C46" s="32" t="str">
        <x:v>Başlangıçlar</x:v>
      </x:c>
      <x:c r="D46" s="32" t="n">
        <x:v>8</x:v>
      </x:c>
      <x:c r="E46" s="32" t="str">
        <x:v>45</x:v>
      </x:c>
      <x:c r="F46" s="32" t="str">
        <x:v>Patates Kızartması</x:v>
      </x:c>
      <x:c r="G46" s="32" t="n">
        <x:v>2</x:v>
      </x:c>
      <x:c r="H46" s="35" t="n">
        <x:v>300</x:v>
      </x:c>
      <x:c r="I46" s="34" t="str">
        <x:v>Aktif</x:v>
      </x:c>
      <x:c r="J46" s="34"/>
      <x:c r="K46" s="34" t="str">
        <x:v>Paylaşması kolay, çıtır bir eşlikçi.</x:v>
      </x:c>
      <x:c r="L46" s="34" t="str">
        <x:v>Çıtır · tuzlu</x:v>
      </x:c>
      <x:c r="M46" s="34"/>
      <x:c r="N46" s="34" t="str">
        <x:v>34</x:v>
      </x:c>
      <x:c r="O46" s="34" t="str">
        <x:v>Cool Lime çıtır ve tuzlu başlangıçlara canlı bir ferahlık katar.</x:v>
      </x:c>
      <x:c r="P46" s="34" t="str">
        <x:v>https://img.gopos.com.tr/5L13gNcyZE/36deab75-95b6-45a6-b84f-eca00c209b7f.webp</x:v>
      </x:c>
      <x:c r="Q46" s="34" t="str"/>
    </x:row>
    <x:row r="47" ht="25" customHeight="1">
      <x:c r="A47" s="33" t="str">
        <x:v>Yiyecekler</x:v>
      </x:c>
      <x:c r="B47" s="33" t="str">
        <x:v>baslangiclar</x:v>
      </x:c>
      <x:c r="C47" s="33" t="str">
        <x:v>Başlangıçlar</x:v>
      </x:c>
      <x:c r="D47" s="33" t="n">
        <x:v>8</x:v>
      </x:c>
      <x:c r="E47" s="33" t="str">
        <x:v>46</x:v>
      </x:c>
      <x:c r="F47" s="33" t="str">
        <x:v>Çıpçıtır Tavuk Patates</x:v>
      </x:c>
      <x:c r="G47" s="33" t="n">
        <x:v>3</x:v>
      </x:c>
      <x:c r="H47" s="35" t="n">
        <x:v>440</x:v>
      </x:c>
      <x:c r="I47" s="34" t="str">
        <x:v>Aktif</x:v>
      </x:c>
      <x:c r="J47" s="34"/>
      <x:c r="K47" s="34" t="str">
        <x:v>Çıtır tavuk ve patatesin bir araya geldiği tabak.</x:v>
      </x:c>
      <x:c r="L47" s="34" t="str">
        <x:v>Çıtır · doyurucu</x:v>
      </x:c>
      <x:c r="M47" s="34"/>
      <x:c r="N47" s="34" t="str">
        <x:v>74</x:v>
      </x:c>
      <x:c r="O47" s="34" t="str">
        <x:v>Mineralli su, paylaşım tabağındaki farklı tatlar arasında damağı yeniler.</x:v>
      </x:c>
      <x:c r="P47" s="34" t="str">
        <x:v>https://img.gopos.com.tr/5L13gNcyZE/8a803db4-66dd-45a3-8908-9fb10feb7141.webp</x:v>
      </x:c>
      <x:c r="Q47" s="34" t="str"/>
    </x:row>
    <x:row r="48" ht="25" customHeight="1">
      <x:c r="A48" s="32" t="str">
        <x:v>Yiyecekler</x:v>
      </x:c>
      <x:c r="B48" s="32" t="str">
        <x:v>makarna-manti</x:v>
      </x:c>
      <x:c r="C48" s="32" t="str">
        <x:v>Makarna Mantı</x:v>
      </x:c>
      <x:c r="D48" s="32" t="n">
        <x:v>9</x:v>
      </x:c>
      <x:c r="E48" s="32" t="str">
        <x:v>47</x:v>
      </x:c>
      <x:c r="F48" s="32" t="str">
        <x:v>Fettucini Alfredo</x:v>
      </x:c>
      <x:c r="G48" s="32" t="n">
        <x:v>1</x:v>
      </x:c>
      <x:c r="H48" s="35" t="n">
        <x:v>450</x:v>
      </x:c>
      <x:c r="I48" s="34" t="str">
        <x:v>Aktif</x:v>
      </x:c>
      <x:c r="J48" s="34"/>
      <x:c r="K48" s="34" t="str">
        <x:v>Alfredo sos, tavuk, mantar</x:v>
      </x:c>
      <x:c r="L48" s="34" t="str"/>
      <x:c r="M48" s="34"/>
      <x:c r="N48" s="34" t="str">
        <x:v>74</x:v>
      </x:c>
      <x:c r="O48" s="34" t="str">
        <x:v>Mineralli su, sosun karakterini korurken damağı tazeler.</x:v>
      </x:c>
      <x:c r="P48" s="34" t="str">
        <x:v>https://img.gopos.com.tr/5L13gNcyZE/8a7931f5-f4db-4a3b-a5d8-b025141f8d7f.webp</x:v>
      </x:c>
      <x:c r="Q48" s="34" t="str"/>
    </x:row>
    <x:row r="49" ht="25" customHeight="1">
      <x:c r="A49" s="33" t="str">
        <x:v>Yiyecekler</x:v>
      </x:c>
      <x:c r="B49" s="33" t="str">
        <x:v>makarna-manti</x:v>
      </x:c>
      <x:c r="C49" s="33" t="str">
        <x:v>Makarna Mantı</x:v>
      </x:c>
      <x:c r="D49" s="33" t="n">
        <x:v>9</x:v>
      </x:c>
      <x:c r="E49" s="33" t="str">
        <x:v>48</x:v>
      </x:c>
      <x:c r="F49" s="33" t="str">
        <x:v>Zoi Special Çıtır Mantı</x:v>
      </x:c>
      <x:c r="G49" s="33" t="n">
        <x:v>2</x:v>
      </x:c>
      <x:c r="H49" s="35" t="n">
        <x:v>480</x:v>
      </x:c>
      <x:c r="I49" s="34" t="str">
        <x:v>Aktif</x:v>
      </x:c>
      <x:c r="J49" s="34"/>
      <x:c r="K49" s="34" t="str">
        <x:v>Zoi özel ev yapımı mantı. Süzme yoğurt, kırmızı&amp;yeşil yağ ile.</x:v>
      </x:c>
      <x:c r="L49" s="34" t="str"/>
      <x:c r="M49" s="34"/>
      <x:c r="N49" s="34" t="str">
        <x:v>33</x:v>
      </x:c>
      <x:c r="O49" s="34" t="str">
        <x:v>Meyvemsi hibiskus, sıcak yemeğe zarif ve canlı bir kontrast verir.</x:v>
      </x:c>
      <x:c r="P49" s="34" t="str">
        <x:v>https://img.gopos.com.tr/5L13gNcyZE/7b16127b-dddb-4cdc-ac3f-9cc07d807f0d.webp</x:v>
      </x:c>
      <x:c r="Q49" s="34" t="str"/>
    </x:row>
    <x:row r="50" ht="25" customHeight="1">
      <x:c r="A50" s="32" t="str">
        <x:v>Tatlılar</x:v>
      </x:c>
      <x:c r="B50" s="32" t="str">
        <x:v>tatlilar</x:v>
      </x:c>
      <x:c r="C50" s="32" t="str">
        <x:v>Tatlılar</x:v>
      </x:c>
      <x:c r="D50" s="32" t="n">
        <x:v>10</x:v>
      </x:c>
      <x:c r="E50" s="32" t="str">
        <x:v>49</x:v>
      </x:c>
      <x:c r="F50" s="32" t="str">
        <x:v>San Sebastian</x:v>
      </x:c>
      <x:c r="G50" s="32" t="n">
        <x:v>1</x:v>
      </x:c>
      <x:c r="H50" s="35" t="n">
        <x:v>370</x:v>
      </x:c>
      <x:c r="I50" s="34" t="str">
        <x:v>Aktif</x:v>
      </x:c>
      <x:c r="J50" s="34"/>
      <x:c r="K50" s="34" t="str">
        <x:v>Karamelize yüzeyiyle sade bir tatlı molası.</x:v>
      </x:c>
      <x:c r="L50" s="34" t="str">
        <x:v>Kremamsı · yoğun</x:v>
      </x:c>
      <x:c r="M50" s="34"/>
      <x:c r="N50" s="34" t="str">
        <x:v>18</x:v>
      </x:c>
      <x:c r="O50" s="34" t="str">
        <x:v>Buzlu latte, çikolata ve kremaya serin bir denge getirir.</x:v>
      </x:c>
      <x:c r="P50" s="34" t="str">
        <x:v>https://img.gopos.com.tr/5L13gNcyZE/ac0cb53e-5227-4546-9b41-9c6524d49e48.webp</x:v>
      </x:c>
      <x:c r="Q50" s="34" t="str"/>
    </x:row>
    <x:row r="51" ht="25" customHeight="1">
      <x:c r="A51" s="33" t="str">
        <x:v>Tatlılar</x:v>
      </x:c>
      <x:c r="B51" s="33" t="str">
        <x:v>tatlilar</x:v>
      </x:c>
      <x:c r="C51" s="33" t="str">
        <x:v>Tatlılar</x:v>
      </x:c>
      <x:c r="D51" s="33" t="n">
        <x:v>10</x:v>
      </x:c>
      <x:c r="E51" s="33" t="str">
        <x:v>50</x:v>
      </x:c>
      <x:c r="F51" s="33" t="str">
        <x:v>Tiramisu</x:v>
      </x:c>
      <x:c r="G51" s="33" t="n">
        <x:v>2</x:v>
      </x:c>
      <x:c r="H51" s="35" t="n">
        <x:v>390</x:v>
      </x:c>
      <x:c r="I51" s="34" t="str">
        <x:v>Aktif</x:v>
      </x:c>
      <x:c r="J51" s="34"/>
      <x:c r="K51" s="34" t="str">
        <x:v>Kat kat, kahveye eşlik eden yumuşak bir klasik.</x:v>
      </x:c>
      <x:c r="L51" s="34" t="str">
        <x:v>Hafif · katmanlı</x:v>
      </x:c>
      <x:c r="M51" s="34"/>
      <x:c r="N51" s="34" t="str">
        <x:v>26</x:v>
      </x:c>
      <x:c r="O51" s="34" t="str">
        <x:v>Matchanın bitkisel tonu tatlıya modern ve hafif bir kontrast verir.</x:v>
      </x:c>
      <x:c r="P51" s="34" t="str">
        <x:v>https://img.gopos.com.tr/5L13gNcyZE/4ae32a1d-e67b-43dd-9a44-4bef5118e6b5.webp</x:v>
      </x:c>
      <x:c r="Q51" s="34" t="str"/>
    </x:row>
    <x:row r="52" ht="25" customHeight="1">
      <x:c r="A52" s="32" t="str">
        <x:v>Tatlılar</x:v>
      </x:c>
      <x:c r="B52" s="32" t="str">
        <x:v>tatlilar</x:v>
      </x:c>
      <x:c r="C52" s="32" t="str">
        <x:v>Tatlılar</x:v>
      </x:c>
      <x:c r="D52" s="32" t="n">
        <x:v>10</x:v>
      </x:c>
      <x:c r="E52" s="32" t="str">
        <x:v>51</x:v>
      </x:c>
      <x:c r="F52" s="32" t="str">
        <x:v>Browni</x:v>
      </x:c>
      <x:c r="G52" s="32" t="n">
        <x:v>3</x:v>
      </x:c>
      <x:c r="H52" s="35" t="n">
        <x:v>390</x:v>
      </x:c>
      <x:c r="I52" s="34" t="str">
        <x:v>Aktif</x:v>
      </x:c>
      <x:c r="J52" s="34"/>
      <x:c r="K52" s="34" t="str">
        <x:v>Arası beyaz çikolata üstü ise belçika çikolatası sosu ile servis edilir</x:v>
      </x:c>
      <x:c r="L52" s="34" t="str"/>
      <x:c r="M52" s="34"/>
      <x:c r="N52" s="34" t="str">
        <x:v>1</x:v>
      </x:c>
      <x:c r="O52" s="34" t="str">
        <x:v>Kısa ve yoğun espresso tatlının şekerini net bir bitişle dengeler.</x:v>
      </x:c>
      <x:c r="P52" s="34" t="str"/>
      <x:c r="Q52" s="34" t="str"/>
    </x:row>
    <x:row r="53" ht="25" customHeight="1">
      <x:c r="A53" s="33" t="str">
        <x:v>Tatlılar</x:v>
      </x:c>
      <x:c r="B53" s="33" t="str">
        <x:v>tatlilar</x:v>
      </x:c>
      <x:c r="C53" s="33" t="str">
        <x:v>Tatlılar</x:v>
      </x:c>
      <x:c r="D53" s="33" t="n">
        <x:v>10</x:v>
      </x:c>
      <x:c r="E53" s="33" t="str">
        <x:v>52</x:v>
      </x:c>
      <x:c r="F53" s="33" t="str">
        <x:v>Zoi Profiterol</x:v>
      </x:c>
      <x:c r="G53" s="33" t="n">
        <x:v>4</x:v>
      </x:c>
      <x:c r="H53" s="35" t="n">
        <x:v>390</x:v>
      </x:c>
      <x:c r="I53" s="34" t="str">
        <x:v>Aktif</x:v>
      </x:c>
      <x:c r="J53" s="34"/>
      <x:c r="K53" s="34" t="str">
        <x:v>Çikolata soslu küçük bir tatlı molası.</x:v>
      </x:c>
      <x:c r="L53" s="34" t="str">
        <x:v>Çikolatalı · yumuşak</x:v>
      </x:c>
      <x:c r="M53" s="34"/>
      <x:c r="N53" s="34" t="str">
        <x:v>8</x:v>
      </x:c>
      <x:c r="O53" s="34" t="str">
        <x:v>Cortado, az sütlü yapısıyla tatlıya yumuşak ama belirgin eşlik eder.</x:v>
      </x:c>
      <x:c r="P53" s="34" t="str"/>
      <x:c r="Q53" s="34" t="str"/>
    </x:row>
    <x:row r="54" ht="25" customHeight="1">
      <x:c r="A54" s="32" t="str">
        <x:v>Tatlılar</x:v>
      </x:c>
      <x:c r="B54" s="32" t="str">
        <x:v>dondurma</x:v>
      </x:c>
      <x:c r="C54" s="32" t="str">
        <x:v>Dondurma</x:v>
      </x:c>
      <x:c r="D54" s="32" t="n">
        <x:v>11</x:v>
      </x:c>
      <x:c r="E54" s="32" t="str">
        <x:v>53</x:v>
      </x:c>
      <x:c r="F54" s="32" t="str">
        <x:v>Dondurma</x:v>
      </x:c>
      <x:c r="G54" s="32" t="n">
        <x:v>1</x:v>
      </x:c>
      <x:c r="H54" s="35" t="n">
        <x:v>80</x:v>
      </x:c>
      <x:c r="I54" s="34" t="str">
        <x:v>Aktif</x:v>
      </x:c>
      <x:c r="J54" s="34"/>
      <x:c r="K54" s="34" t="str">
        <x:v>Kase, külah veya kornet külah tercihi ile. Çeşitler için bilgi alabilirsiniz.</x:v>
      </x:c>
      <x:c r="L54" s="34" t="str"/>
      <x:c r="M54" s="34"/>
      <x:c r="N54" s="34" t="str">
        <x:v>8</x:v>
      </x:c>
      <x:c r="O54" s="34" t="str">
        <x:v>Cortado, dondurmanın tatlılığını kısa ve dengeli bir kahveyle tamamlar.</x:v>
      </x:c>
      <x:c r="P54" s="34" t="str">
        <x:v>https://img.gopos.com.tr/5L13gNcyZE/ef9e5d92-36ea-4d98-bc39-18dc6a5f4761.webp</x:v>
      </x:c>
      <x:c r="Q54" s="34" t="str"/>
    </x:row>
    <x:row r="55" ht="25" customHeight="1">
      <x:c r="A55" s="33" t="str">
        <x:v>İçecekler</x:v>
      </x:c>
      <x:c r="B55" s="33" t="str">
        <x:v>frozen-milkshake</x:v>
      </x:c>
      <x:c r="C55" s="33" t="str">
        <x:v>Frozen &amp; Milkshake</x:v>
      </x:c>
      <x:c r="D55" s="33" t="n">
        <x:v>12</x:v>
      </x:c>
      <x:c r="E55" s="33" t="str">
        <x:v>54</x:v>
      </x:c>
      <x:c r="F55" s="33" t="str">
        <x:v>Çilek Frozen</x:v>
      </x:c>
      <x:c r="G55" s="33" t="n">
        <x:v>1</x:v>
      </x:c>
      <x:c r="H55" s="35" t="n">
        <x:v>280</x:v>
      </x:c>
      <x:c r="I55" s="34" t="str">
        <x:v>Aktif</x:v>
      </x:c>
      <x:c r="J55" s="34"/>
      <x:c r="K55" s="34" t="str">
        <x:v>Çileğin serin ve canlı hali.</x:v>
      </x:c>
      <x:c r="L55" s="34" t="str">
        <x:v>Meyvemsi · buzlu</x:v>
      </x:c>
      <x:c r="M55" s="34"/>
      <x:c r="N55" s="34" t="str">
        <x:v>42</x:v>
      </x:c>
      <x:c r="O55" s="34" t="str">
        <x:v>Meyvemsi ferahlık sucuklu tostun belirgin baharatını hafifletir.</x:v>
      </x:c>
      <x:c r="P55" s="34" t="str"/>
      <x:c r="Q55" s="34" t="str"/>
    </x:row>
    <x:row r="56" ht="25" customHeight="1">
      <x:c r="A56" s="32" t="str">
        <x:v>İçecekler</x:v>
      </x:c>
      <x:c r="B56" s="32" t="str">
        <x:v>frozen-milkshake</x:v>
      </x:c>
      <x:c r="C56" s="32" t="str">
        <x:v>Frozen &amp; Milkshake</x:v>
      </x:c>
      <x:c r="D56" s="32" t="n">
        <x:v>12</x:v>
      </x:c>
      <x:c r="E56" s="32" t="str">
        <x:v>55</x:v>
      </x:c>
      <x:c r="F56" s="32" t="str">
        <x:v>Çarkıfelek Frozen</x:v>
      </x:c>
      <x:c r="G56" s="32" t="n">
        <x:v>2</x:v>
      </x:c>
      <x:c r="H56" s="35" t="n">
        <x:v>280</x:v>
      </x:c>
      <x:c r="I56" s="34" t="str">
        <x:v>Aktif</x:v>
      </x:c>
      <x:c r="J56" s="34"/>
      <x:c r="K56" s="34" t="str">
        <x:v>Çarkıfeleğin tropik ferahlığı.</x:v>
      </x:c>
      <x:c r="L56" s="34" t="str">
        <x:v>Tropik · buzlu</x:v>
      </x:c>
      <x:c r="M56" s="34"/>
      <x:c r="N56" s="34" t="str">
        <x:v>45</x:v>
      </x:c>
      <x:c r="O56" s="34" t="str">
        <x:v>Çıtır patates, yoğun ve kremamsı içime tuzlu bir kontrast verir.</x:v>
      </x:c>
      <x:c r="P56" s="34" t="str"/>
      <x:c r="Q56" s="34" t="str"/>
    </x:row>
    <x:row r="57" ht="25" customHeight="1">
      <x:c r="A57" s="33" t="str">
        <x:v>İçecekler</x:v>
      </x:c>
      <x:c r="B57" s="33" t="str">
        <x:v>frozen-milkshake</x:v>
      </x:c>
      <x:c r="C57" s="33" t="str">
        <x:v>Frozen &amp; Milkshake</x:v>
      </x:c>
      <x:c r="D57" s="33" t="n">
        <x:v>12</x:v>
      </x:c>
      <x:c r="E57" s="33" t="str">
        <x:v>56</x:v>
      </x:c>
      <x:c r="F57" s="33" t="str">
        <x:v>Mango Frozen</x:v>
      </x:c>
      <x:c r="G57" s="33" t="n">
        <x:v>3</x:v>
      </x:c>
      <x:c r="H57" s="35" t="n">
        <x:v>280</x:v>
      </x:c>
      <x:c r="I57" s="34" t="str">
        <x:v>Aktif</x:v>
      </x:c>
      <x:c r="J57" s="34"/>
      <x:c r="K57" s="34" t="str">
        <x:v>Mangonun yazlık, serin yorumu.</x:v>
      </x:c>
      <x:c r="L57" s="34" t="str">
        <x:v>Tropik · buzlu</x:v>
      </x:c>
      <x:c r="M57" s="34"/>
      <x:c r="N57" s="34" t="str">
        <x:v>46</x:v>
      </x:c>
      <x:c r="O57" s="34" t="str">
        <x:v>Doyurucu çıtır tabak, milkshake’i küçük bir öğüne dönüştürür.</x:v>
      </x:c>
      <x:c r="P57" s="34" t="str"/>
      <x:c r="Q57" s="34" t="str"/>
    </x:row>
    <x:row r="58" ht="25" customHeight="1">
      <x:c r="A58" s="32" t="str">
        <x:v>İçecekler</x:v>
      </x:c>
      <x:c r="B58" s="32" t="str">
        <x:v>frozen-milkshake</x:v>
      </x:c>
      <x:c r="C58" s="32" t="str">
        <x:v>Frozen &amp; Milkshake</x:v>
      </x:c>
      <x:c r="D58" s="32" t="n">
        <x:v>12</x:v>
      </x:c>
      <x:c r="E58" s="32" t="str">
        <x:v>57</x:v>
      </x:c>
      <x:c r="F58" s="32" t="str">
        <x:v>Çikolatalı Milkshake</x:v>
      </x:c>
      <x:c r="G58" s="32" t="n">
        <x:v>4</x:v>
      </x:c>
      <x:c r="H58" s="35" t="n">
        <x:v>300</x:v>
      </x:c>
      <x:c r="I58" s="34" t="str">
        <x:v>Aktif</x:v>
      </x:c>
      <x:c r="J58" s="34"/>
      <x:c r="K58" s="34" t="str">
        <x:v>Çikolatalı Dondurma ve Süt</x:v>
      </x:c>
      <x:c r="L58" s="34" t="str"/>
      <x:c r="M58" s="34"/>
      <x:c r="N58" s="34" t="str">
        <x:v>41</x:v>
      </x:c>
      <x:c r="O58" s="34" t="str">
        <x:v>Serin ve tatlı içim, kaşarlı tostun sıcaklığını dengeler.</x:v>
      </x:c>
      <x:c r="P58" s="34" t="str"/>
      <x:c r="Q58" s="34" t="str"/>
    </x:row>
    <x:row r="59" ht="25" customHeight="1">
      <x:c r="A59" s="33" t="str">
        <x:v>İçecekler</x:v>
      </x:c>
      <x:c r="B59" s="33" t="str">
        <x:v>frozen-milkshake</x:v>
      </x:c>
      <x:c r="C59" s="33" t="str">
        <x:v>Frozen &amp; Milkshake</x:v>
      </x:c>
      <x:c r="D59" s="33" t="n">
        <x:v>12</x:v>
      </x:c>
      <x:c r="E59" s="33" t="str">
        <x:v>58</x:v>
      </x:c>
      <x:c r="F59" s="33" t="str">
        <x:v>Çilekli Milkshake</x:v>
      </x:c>
      <x:c r="G59" s="33" t="n">
        <x:v>5</x:v>
      </x:c>
      <x:c r="H59" s="35" t="n">
        <x:v>300</x:v>
      </x:c>
      <x:c r="I59" s="34" t="str">
        <x:v>Aktif</x:v>
      </x:c>
      <x:c r="J59" s="34"/>
      <x:c r="K59" s="34" t="str">
        <x:v>İçerik bilgisi için ekibimize danışabilirsiniz.</x:v>
      </x:c>
      <x:c r="L59" s="34" t="str"/>
      <x:c r="M59" s="34"/>
      <x:c r="N59" s="34" t="str">
        <x:v>42</x:v>
      </x:c>
      <x:c r="O59" s="34" t="str">
        <x:v>Meyvemsi ferahlık sucuklu tostun belirgin baharatını hafifletir.</x:v>
      </x:c>
      <x:c r="P59" s="34" t="str"/>
      <x:c r="Q59" s="34" t="str"/>
    </x:row>
    <x:row r="60" ht="25" customHeight="1">
      <x:c r="A60" s="32" t="str">
        <x:v>İçecekler</x:v>
      </x:c>
      <x:c r="B60" s="32" t="str">
        <x:v>frozen-milkshake</x:v>
      </x:c>
      <x:c r="C60" s="32" t="str">
        <x:v>Frozen &amp; Milkshake</x:v>
      </x:c>
      <x:c r="D60" s="32" t="n">
        <x:v>12</x:v>
      </x:c>
      <x:c r="E60" s="32" t="str">
        <x:v>59</x:v>
      </x:c>
      <x:c r="F60" s="32" t="str">
        <x:v>Vanilyalı Milkshake</x:v>
      </x:c>
      <x:c r="G60" s="32" t="n">
        <x:v>6</x:v>
      </x:c>
      <x:c r="H60" s="35" t="n">
        <x:v>300</x:v>
      </x:c>
      <x:c r="I60" s="34" t="str">
        <x:v>Aktif</x:v>
      </x:c>
      <x:c r="J60" s="34"/>
      <x:c r="K60" s="34" t="str">
        <x:v>Vanilyalı Dondurma ve Süt</x:v>
      </x:c>
      <x:c r="L60" s="34" t="str"/>
      <x:c r="M60" s="34"/>
      <x:c r="N60" s="34" t="str">
        <x:v>45</x:v>
      </x:c>
      <x:c r="O60" s="34" t="str">
        <x:v>Çıtır patates, yoğun ve kremamsı içime tuzlu bir kontrast verir.</x:v>
      </x:c>
      <x:c r="P60" s="34" t="str"/>
      <x:c r="Q60" s="34" t="str"/>
    </x:row>
    <x:row r="61" ht="25" customHeight="1">
      <x:c r="A61" s="33" t="str">
        <x:v>İçecekler</x:v>
      </x:c>
      <x:c r="B61" s="33" t="str">
        <x:v>tea-pot</x:v>
      </x:c>
      <x:c r="C61" s="33" t="str">
        <x:v>Tea Pot</x:v>
      </x:c>
      <x:c r="D61" s="33" t="n">
        <x:v>13</x:v>
      </x:c>
      <x:c r="E61" s="33" t="str">
        <x:v>60</x:v>
      </x:c>
      <x:c r="F61" s="33" t="str">
        <x:v>Türk Çayı</x:v>
      </x:c>
      <x:c r="G61" s="33" t="n">
        <x:v>1</x:v>
      </x:c>
      <x:c r="H61" s="35" t="n">
        <x:v>85</x:v>
      </x:c>
      <x:c r="I61" s="34" t="str">
        <x:v>Aktif</x:v>
      </x:c>
      <x:c r="J61" s="34"/>
      <x:c r="K61" s="34" t="str">
        <x:v>Günün temposuna kısa bir çay molası.</x:v>
      </x:c>
      <x:c r="L61" s="34" t="str">
        <x:v>Sıcak · sade</x:v>
      </x:c>
      <x:c r="M61" s="34"/>
      <x:c r="N61" s="34" t="str">
        <x:v>50</x:v>
      </x:c>
      <x:c r="O61" s="34" t="str">
        <x:v>Tiramisunun hafif katmanları çay molasına yumuşak bir final ekler.</x:v>
      </x:c>
      <x:c r="P61" s="34" t="str">
        <x:v>https://img.gopos.com.tr/5L13gNcyZE/116955e9-59bf-4223-b40b-cec8dd1897e4.webp</x:v>
      </x:c>
      <x:c r="Q61" s="34" t="str"/>
    </x:row>
    <x:row r="62" ht="25" customHeight="1">
      <x:c r="A62" s="32" t="str">
        <x:v>İçecekler</x:v>
      </x:c>
      <x:c r="B62" s="32" t="str">
        <x:v>soguk-icecekler</x:v>
      </x:c>
      <x:c r="C62" s="32" t="str">
        <x:v>Soğuk İçecekler</x:v>
      </x:c>
      <x:c r="D62" s="32" t="n">
        <x:v>14</x:v>
      </x:c>
      <x:c r="E62" s="32" t="str">
        <x:v>61</x:v>
      </x:c>
      <x:c r="F62" s="32" t="str">
        <x:v>Soda</x:v>
      </x:c>
      <x:c r="G62" s="32" t="n">
        <x:v>1</x:v>
      </x:c>
      <x:c r="H62" s="35" t="n">
        <x:v>100</x:v>
      </x:c>
      <x:c r="I62" s="34" t="str">
        <x:v>Aktif</x:v>
      </x:c>
      <x:c r="J62" s="34"/>
      <x:c r="K62" s="34" t="str"/>
      <x:c r="L62" s="34" t="str"/>
      <x:c r="M62" s="34"/>
      <x:c r="N62" s="34" t="str">
        <x:v>36</x:v>
      </x:c>
      <x:c r="O62" s="34" t="str">
        <x:v>Ferahlık, sandviçin kremamsı dokusunu dengeli biçimde hafifletir.</x:v>
      </x:c>
      <x:c r="P62" s="34" t="str">
        <x:v>https://img.gopos.com.tr/5L13gNcyZE/1546b1bf-812d-4c96-8a6c-5e831c2eb6fb.webp</x:v>
      </x:c>
      <x:c r="Q62" s="34" t="str"/>
    </x:row>
    <x:row r="63" ht="25" customHeight="1">
      <x:c r="A63" s="33" t="str">
        <x:v>İçecekler</x:v>
      </x:c>
      <x:c r="B63" s="33" t="str">
        <x:v>soguk-icecekler</x:v>
      </x:c>
      <x:c r="C63" s="33" t="str">
        <x:v>Soğuk İçecekler</x:v>
      </x:c>
      <x:c r="D63" s="33" t="n">
        <x:v>14</x:v>
      </x:c>
      <x:c r="E63" s="33" t="str">
        <x:v>62</x:v>
      </x:c>
      <x:c r="F63" s="33" t="str">
        <x:v>Soda + Limon</x:v>
      </x:c>
      <x:c r="G63" s="33" t="n">
        <x:v>2</x:v>
      </x:c>
      <x:c r="H63" s="35" t="n">
        <x:v>120</x:v>
      </x:c>
      <x:c r="I63" s="34" t="str">
        <x:v>Aktif</x:v>
      </x:c>
      <x:c r="J63" s="34"/>
      <x:c r="K63" s="34" t="str"/>
      <x:c r="L63" s="34" t="str"/>
      <x:c r="M63" s="34"/>
      <x:c r="N63" s="34" t="str">
        <x:v>41</x:v>
      </x:c>
      <x:c r="O63" s="34" t="str">
        <x:v>Soğuk içecek sıcak tostla net ve tanıdık bir kontrast kurar.</x:v>
      </x:c>
      <x:c r="P63" s="34" t="str"/>
      <x:c r="Q63" s="34" t="str"/>
    </x:row>
    <x:row r="64" ht="25" customHeight="1">
      <x:c r="A64" s="32" t="str">
        <x:v>İçecekler</x:v>
      </x:c>
      <x:c r="B64" s="32" t="str">
        <x:v>soguk-icecekler</x:v>
      </x:c>
      <x:c r="C64" s="32" t="str">
        <x:v>Soğuk İçecekler</x:v>
      </x:c>
      <x:c r="D64" s="32" t="n">
        <x:v>14</x:v>
      </x:c>
      <x:c r="E64" s="32" t="str">
        <x:v>63</x:v>
      </x:c>
      <x:c r="F64" s="32" t="str">
        <x:v>Churchill</x:v>
      </x:c>
      <x:c r="G64" s="32" t="n">
        <x:v>3</x:v>
      </x:c>
      <x:c r="H64" s="35" t="n">
        <x:v>130</x:v>
      </x:c>
      <x:c r="I64" s="34" t="str">
        <x:v>Aktif</x:v>
      </x:c>
      <x:c r="J64" s="34"/>
      <x:c r="K64" s="34" t="str"/>
      <x:c r="L64" s="34" t="str"/>
      <x:c r="M64" s="34"/>
      <x:c r="N64" s="34" t="str">
        <x:v>44</x:v>
      </x:c>
      <x:c r="O64" s="34" t="str">
        <x:v>Paylaşımlık tabak, uzun ve serin içime sosyal bir eşlikçi olur.</x:v>
      </x:c>
      <x:c r="P64" s="34" t="str">
        <x:v>https://img.gopos.com.tr/5L13gNcyZE/8703c832-54ca-4760-adcd-6678867b85e1.webp</x:v>
      </x:c>
      <x:c r="Q64" s="34" t="str"/>
    </x:row>
    <x:row r="65" ht="25" customHeight="1">
      <x:c r="A65" s="33" t="str">
        <x:v>İçecekler</x:v>
      </x:c>
      <x:c r="B65" s="33" t="str">
        <x:v>soguk-icecekler</x:v>
      </x:c>
      <x:c r="C65" s="33" t="str">
        <x:v>Soğuk İçecekler</x:v>
      </x:c>
      <x:c r="D65" s="33" t="n">
        <x:v>14</x:v>
      </x:c>
      <x:c r="E65" s="33" t="str">
        <x:v>64</x:v>
      </x:c>
      <x:c r="F65" s="33" t="str">
        <x:v>Avşar</x:v>
      </x:c>
      <x:c r="G65" s="33" t="n">
        <x:v>4</x:v>
      </x:c>
      <x:c r="H65" s="35" t="n">
        <x:v>120</x:v>
      </x:c>
      <x:c r="I65" s="34" t="str">
        <x:v>Aktif</x:v>
      </x:c>
      <x:c r="J65" s="34"/>
      <x:c r="K65" s="34" t="str"/>
      <x:c r="L65" s="34" t="str"/>
      <x:c r="M65" s="34"/>
      <x:c r="N65" s="34" t="str">
        <x:v>47</x:v>
      </x:c>
      <x:c r="O65" s="34" t="str">
        <x:v>Canlı içim, Alfredo sosunun yoğunluğunu damakta hafifletir.</x:v>
      </x:c>
      <x:c r="P65" s="34" t="str">
        <x:v>https://img.gopos.com.tr/5L13gNcyZE/6bc5f09a-1a77-403f-bfa0-d6997d5aa7a8.webp</x:v>
      </x:c>
      <x:c r="Q65" s="34" t="str"/>
    </x:row>
    <x:row r="66" ht="25" customHeight="1">
      <x:c r="A66" s="32" t="str">
        <x:v>İçecekler</x:v>
      </x:c>
      <x:c r="B66" s="32" t="str">
        <x:v>soguk-icecekler</x:v>
      </x:c>
      <x:c r="C66" s="32" t="str">
        <x:v>Soğuk İçecekler</x:v>
      </x:c>
      <x:c r="D66" s="32" t="n">
        <x:v>14</x:v>
      </x:c>
      <x:c r="E66" s="32" t="str">
        <x:v>65</x:v>
      </x:c>
      <x:c r="F66" s="32" t="str">
        <x:v>Coca Cola</x:v>
      </x:c>
      <x:c r="G66" s="32" t="n">
        <x:v>5</x:v>
      </x:c>
      <x:c r="H66" s="35" t="n">
        <x:v>130</x:v>
      </x:c>
      <x:c r="I66" s="34" t="str">
        <x:v>Aktif</x:v>
      </x:c>
      <x:c r="J66" s="34"/>
      <x:c r="K66" s="34" t="str"/>
      <x:c r="L66" s="34" t="str"/>
      <x:c r="M66" s="34"/>
      <x:c r="N66" s="34" t="str">
        <x:v>75</x:v>
      </x:c>
      <x:c r="O66" s="34" t="str">
        <x:v>Tuzlu çerezler serin içeceğin ferahlığını daha belirgin hale getirir.</x:v>
      </x:c>
      <x:c r="P66" s="34" t="str">
        <x:v>https://img.gopos.com.tr/5L13gNcyZE/b1a1f4fc-e131-41ea-831a-b31b56dcb9bc.webp</x:v>
      </x:c>
      <x:c r="Q66" s="34" t="str"/>
    </x:row>
    <x:row r="67" ht="25" customHeight="1">
      <x:c r="A67" s="33" t="str">
        <x:v>İçecekler</x:v>
      </x:c>
      <x:c r="B67" s="33" t="str">
        <x:v>soguk-icecekler</x:v>
      </x:c>
      <x:c r="C67" s="33" t="str">
        <x:v>Soğuk İçecekler</x:v>
      </x:c>
      <x:c r="D67" s="33" t="n">
        <x:v>14</x:v>
      </x:c>
      <x:c r="E67" s="33" t="str">
        <x:v>66</x:v>
      </x:c>
      <x:c r="F67" s="33" t="str">
        <x:v>Coca Cola Zero</x:v>
      </x:c>
      <x:c r="G67" s="33" t="n">
        <x:v>6</x:v>
      </x:c>
      <x:c r="H67" s="35" t="n">
        <x:v>130</x:v>
      </x:c>
      <x:c r="I67" s="34" t="str">
        <x:v>Aktif</x:v>
      </x:c>
      <x:c r="J67" s="34"/>
      <x:c r="K67" s="34" t="str"/>
      <x:c r="L67" s="34" t="str"/>
      <x:c r="M67" s="34"/>
      <x:c r="N67" s="34" t="str">
        <x:v>36</x:v>
      </x:c>
      <x:c r="O67" s="34" t="str">
        <x:v>Ferahlık, sandviçin kremamsı dokusunu dengeli biçimde hafifletir.</x:v>
      </x:c>
      <x:c r="P67" s="34" t="str">
        <x:v>https://img.gopos.com.tr/5L13gNcyZE/55b413ef-c1a1-4f11-b107-471254b44347.webp</x:v>
      </x:c>
      <x:c r="Q67" s="34" t="str"/>
    </x:row>
    <x:row r="68" ht="25" customHeight="1">
      <x:c r="A68" s="32" t="str">
        <x:v>İçecekler</x:v>
      </x:c>
      <x:c r="B68" s="32" t="str">
        <x:v>soguk-icecekler</x:v>
      </x:c>
      <x:c r="C68" s="32" t="str">
        <x:v>Soğuk İçecekler</x:v>
      </x:c>
      <x:c r="D68" s="32" t="n">
        <x:v>14</x:v>
      </x:c>
      <x:c r="E68" s="32" t="str">
        <x:v>67</x:v>
      </x:c>
      <x:c r="F68" s="32" t="str">
        <x:v>Sprite</x:v>
      </x:c>
      <x:c r="G68" s="32" t="n">
        <x:v>7</x:v>
      </x:c>
      <x:c r="H68" s="35" t="n">
        <x:v>130</x:v>
      </x:c>
      <x:c r="I68" s="34" t="str">
        <x:v>Aktif</x:v>
      </x:c>
      <x:c r="J68" s="34"/>
      <x:c r="K68" s="34" t="str"/>
      <x:c r="L68" s="34" t="str"/>
      <x:c r="M68" s="34"/>
      <x:c r="N68" s="34" t="str">
        <x:v>41</x:v>
      </x:c>
      <x:c r="O68" s="34" t="str">
        <x:v>Soğuk içecek sıcak tostla net ve tanıdık bir kontrast kurar.</x:v>
      </x:c>
      <x:c r="P68" s="34" t="str">
        <x:v>https://img.gopos.com.tr/5L13gNcyZE/391c413a-deaa-4e38-be69-b2fadfa1107e.webp</x:v>
      </x:c>
      <x:c r="Q68" s="34" t="str"/>
    </x:row>
    <x:row r="69" ht="25" customHeight="1">
      <x:c r="A69" s="33" t="str">
        <x:v>İçecekler</x:v>
      </x:c>
      <x:c r="B69" s="33" t="str">
        <x:v>soguk-icecekler</x:v>
      </x:c>
      <x:c r="C69" s="33" t="str">
        <x:v>Soğuk İçecekler</x:v>
      </x:c>
      <x:c r="D69" s="33" t="n">
        <x:v>14</x:v>
      </x:c>
      <x:c r="E69" s="33" t="str">
        <x:v>68</x:v>
      </x:c>
      <x:c r="F69" s="33" t="str">
        <x:v>Fanta</x:v>
      </x:c>
      <x:c r="G69" s="33" t="n">
        <x:v>8</x:v>
      </x:c>
      <x:c r="H69" s="35" t="n">
        <x:v>130</x:v>
      </x:c>
      <x:c r="I69" s="34" t="str">
        <x:v>Aktif</x:v>
      </x:c>
      <x:c r="J69" s="34"/>
      <x:c r="K69" s="34" t="str"/>
      <x:c r="L69" s="34" t="str"/>
      <x:c r="M69" s="34"/>
      <x:c r="N69" s="34" t="str">
        <x:v>44</x:v>
      </x:c>
      <x:c r="O69" s="34" t="str">
        <x:v>Paylaşımlık tabak, uzun ve serin içime sosyal bir eşlikçi olur.</x:v>
      </x:c>
      <x:c r="P69" s="34" t="str">
        <x:v>https://img.gopos.com.tr/5L13gNcyZE/fb588240-d18f-4dc7-8a53-b70c6b899d93.webp</x:v>
      </x:c>
      <x:c r="Q69" s="34" t="str"/>
    </x:row>
    <x:row r="70" ht="25" customHeight="1">
      <x:c r="A70" s="32" t="str">
        <x:v>İçecekler</x:v>
      </x:c>
      <x:c r="B70" s="32" t="str">
        <x:v>soguk-icecekler</x:v>
      </x:c>
      <x:c r="C70" s="32" t="str">
        <x:v>Soğuk İçecekler</x:v>
      </x:c>
      <x:c r="D70" s="32" t="n">
        <x:v>14</x:v>
      </x:c>
      <x:c r="E70" s="32" t="str">
        <x:v>69</x:v>
      </x:c>
      <x:c r="F70" s="32" t="str">
        <x:v>Redbull</x:v>
      </x:c>
      <x:c r="G70" s="32" t="n">
        <x:v>9</x:v>
      </x:c>
      <x:c r="H70" s="35" t="n">
        <x:v>250</x:v>
      </x:c>
      <x:c r="I70" s="34" t="str">
        <x:v>Aktif</x:v>
      </x:c>
      <x:c r="J70" s="34"/>
      <x:c r="K70" s="34" t="str"/>
      <x:c r="L70" s="34" t="str"/>
      <x:c r="M70" s="34"/>
      <x:c r="N70" s="34" t="str">
        <x:v>47</x:v>
      </x:c>
      <x:c r="O70" s="34" t="str">
        <x:v>Canlı içim, Alfredo sosunun yoğunluğunu damakta hafifletir.</x:v>
      </x:c>
      <x:c r="P70" s="34" t="str">
        <x:v>https://img.gopos.com.tr/5L13gNcyZE/1ca93952-d55a-43e0-abfa-206a8b3bd356.webp</x:v>
      </x:c>
      <x:c r="Q70" s="34" t="str"/>
    </x:row>
    <x:row r="71" ht="25" customHeight="1">
      <x:c r="A71" s="33" t="str">
        <x:v>İçecekler</x:v>
      </x:c>
      <x:c r="B71" s="33" t="str">
        <x:v>soguk-icecekler</x:v>
      </x:c>
      <x:c r="C71" s="33" t="str">
        <x:v>Soğuk İçecekler</x:v>
      </x:c>
      <x:c r="D71" s="33" t="n">
        <x:v>14</x:v>
      </x:c>
      <x:c r="E71" s="33" t="str">
        <x:v>70</x:v>
      </x:c>
      <x:c r="F71" s="33" t="str">
        <x:v>Limonata</x:v>
      </x:c>
      <x:c r="G71" s="33" t="n">
        <x:v>10</x:v>
      </x:c>
      <x:c r="H71" s="35" t="n">
        <x:v>180</x:v>
      </x:c>
      <x:c r="I71" s="34" t="str">
        <x:v>Aktif</x:v>
      </x:c>
      <x:c r="J71" s="34"/>
      <x:c r="K71" s="34" t="str"/>
      <x:c r="L71" s="34" t="str"/>
      <x:c r="M71" s="34"/>
      <x:c r="N71" s="34" t="str">
        <x:v>75</x:v>
      </x:c>
      <x:c r="O71" s="34" t="str">
        <x:v>Tuzlu çerezler serin içeceğin ferahlığını daha belirgin hale getirir.</x:v>
      </x:c>
      <x:c r="P71" s="34" t="str"/>
      <x:c r="Q71" s="34" t="str"/>
    </x:row>
    <x:row r="72" ht="25" customHeight="1">
      <x:c r="A72" s="32" t="str">
        <x:v>İçecekler</x:v>
      </x:c>
      <x:c r="B72" s="32" t="str">
        <x:v>soguk-icecekler</x:v>
      </x:c>
      <x:c r="C72" s="32" t="str">
        <x:v>Soğuk İçecekler</x:v>
      </x:c>
      <x:c r="D72" s="32" t="n">
        <x:v>14</x:v>
      </x:c>
      <x:c r="E72" s="32" t="str">
        <x:v>71</x:v>
      </x:c>
      <x:c r="F72" s="32" t="str">
        <x:v>Cappy</x:v>
      </x:c>
      <x:c r="G72" s="32" t="n">
        <x:v>11</x:v>
      </x:c>
      <x:c r="H72" s="35" t="n">
        <x:v>130</x:v>
      </x:c>
      <x:c r="I72" s="34" t="str">
        <x:v>Aktif</x:v>
      </x:c>
      <x:c r="J72" s="34"/>
      <x:c r="K72" s="34" t="str"/>
      <x:c r="L72" s="34" t="str"/>
      <x:c r="M72" s="34"/>
      <x:c r="N72" s="34" t="str">
        <x:v>36</x:v>
      </x:c>
      <x:c r="O72" s="34" t="str">
        <x:v>Ferahlık, sandviçin kremamsı dokusunu dengeli biçimde hafifletir.</x:v>
      </x:c>
      <x:c r="P72" s="34" t="str">
        <x:v>https://img.gopos.com.tr/5L13gNcyZE/db8bfe57-6546-4cf2-9fb9-f0ea02e7b796.webp</x:v>
      </x:c>
      <x:c r="Q72" s="34" t="str"/>
    </x:row>
    <x:row r="73" ht="25" customHeight="1">
      <x:c r="A73" s="33" t="str">
        <x:v>İçecekler</x:v>
      </x:c>
      <x:c r="B73" s="33" t="str">
        <x:v>soguk-icecekler</x:v>
      </x:c>
      <x:c r="C73" s="33" t="str">
        <x:v>Soğuk İçecekler</x:v>
      </x:c>
      <x:c r="D73" s="33" t="n">
        <x:v>14</x:v>
      </x:c>
      <x:c r="E73" s="33" t="str">
        <x:v>72</x:v>
      </x:c>
      <x:c r="F73" s="33" t="str">
        <x:v>Ice Tea</x:v>
      </x:c>
      <x:c r="G73" s="33" t="n">
        <x:v>12</x:v>
      </x:c>
      <x:c r="H73" s="35" t="n">
        <x:v>130</x:v>
      </x:c>
      <x:c r="I73" s="34" t="str">
        <x:v>Aktif</x:v>
      </x:c>
      <x:c r="J73" s="34"/>
      <x:c r="K73" s="34" t="str"/>
      <x:c r="L73" s="34" t="str"/>
      <x:c r="M73" s="34"/>
      <x:c r="N73" s="34" t="str">
        <x:v>41</x:v>
      </x:c>
      <x:c r="O73" s="34" t="str">
        <x:v>Soğuk içecek sıcak tostla net ve tanıdık bir kontrast kurar.</x:v>
      </x:c>
      <x:c r="P73" s="34" t="str">
        <x:v>https://img.gopos.com.tr/5L13gNcyZE/be1ad297-8144-415d-b90f-064d9b4d76ad.webp</x:v>
      </x:c>
      <x:c r="Q73" s="34" t="str"/>
    </x:row>
    <x:row r="74" ht="25" customHeight="1">
      <x:c r="A74" s="32" t="str">
        <x:v>İçecekler</x:v>
      </x:c>
      <x:c r="B74" s="32" t="str">
        <x:v>soguk-icecekler</x:v>
      </x:c>
      <x:c r="C74" s="32" t="str">
        <x:v>Soğuk İçecekler</x:v>
      </x:c>
      <x:c r="D74" s="32" t="n">
        <x:v>14</x:v>
      </x:c>
      <x:c r="E74" s="32" t="str">
        <x:v>73</x:v>
      </x:c>
      <x:c r="F74" s="32" t="str">
        <x:v>Su</x:v>
      </x:c>
      <x:c r="G74" s="32" t="n">
        <x:v>13</x:v>
      </x:c>
      <x:c r="H74" s="35" t="n">
        <x:v>70</x:v>
      </x:c>
      <x:c r="I74" s="34" t="str">
        <x:v>Aktif</x:v>
      </x:c>
      <x:c r="J74" s="34"/>
      <x:c r="K74" s="34" t="str"/>
      <x:c r="L74" s="34" t="str"/>
      <x:c r="M74" s="34"/>
      <x:c r="N74" s="34" t="str">
        <x:v>44</x:v>
      </x:c>
      <x:c r="O74" s="34" t="str">
        <x:v>Paylaşımlık tabak, uzun ve serin içime sosyal bir eşlikçi olur.</x:v>
      </x:c>
      <x:c r="P74" s="34" t="str">
        <x:v>https://img.gopos.com.tr/5L13gNcyZE/168e2e1b-4096-4737-8c75-8d06bc17f5d4.webp</x:v>
      </x:c>
      <x:c r="Q74" s="34" t="str"/>
    </x:row>
    <x:row r="75" ht="25" customHeight="1">
      <x:c r="A75" s="33" t="str">
        <x:v>İçecekler</x:v>
      </x:c>
      <x:c r="B75" s="33" t="str">
        <x:v>soguk-icecekler</x:v>
      </x:c>
      <x:c r="C75" s="33" t="str">
        <x:v>Soğuk İçecekler</x:v>
      </x:c>
      <x:c r="D75" s="33" t="n">
        <x:v>14</x:v>
      </x:c>
      <x:c r="E75" s="33" t="str">
        <x:v>74</x:v>
      </x:c>
      <x:c r="F75" s="33" t="str">
        <x:v>San Pellegrino</x:v>
      </x:c>
      <x:c r="G75" s="33" t="n">
        <x:v>14</x:v>
      </x:c>
      <x:c r="H75" s="35" t="n">
        <x:v>170</x:v>
      </x:c>
      <x:c r="I75" s="34" t="str">
        <x:v>Aktif</x:v>
      </x:c>
      <x:c r="J75" s="34"/>
      <x:c r="K75" s="34" t="str"/>
      <x:c r="L75" s="34" t="str"/>
      <x:c r="M75" s="34"/>
      <x:c r="N75" s="34" t="str">
        <x:v>47</x:v>
      </x:c>
      <x:c r="O75" s="34" t="str">
        <x:v>Canlı içim, Alfredo sosunun yoğunluğunu damakta hafifletir.</x:v>
      </x:c>
      <x:c r="P75" s="34" t="str">
        <x:v>https://img.gopos.com.tr/5L13gNcyZE/82b35a0b-d45a-48ab-a8b2-4f91445d03e1.webp</x:v>
      </x:c>
      <x:c r="Q75" s="34" t="str"/>
    </x:row>
    <x:row r="76" ht="25" customHeight="1">
      <x:c r="A76" s="32" t="str">
        <x:v>Diğer</x:v>
      </x:c>
      <x:c r="B76" s="32" t="str">
        <x:v>luks-cerez</x:v>
      </x:c>
      <x:c r="C76" s="32" t="str">
        <x:v>Lüks Çerez</x:v>
      </x:c>
      <x:c r="D76" s="32" t="n">
        <x:v>15</x:v>
      </x:c>
      <x:c r="E76" s="32" t="str">
        <x:v>75</x:v>
      </x:c>
      <x:c r="F76" s="32" t="str">
        <x:v>Lüks Çerez</x:v>
      </x:c>
      <x:c r="G76" s="32" t="n">
        <x:v>1</x:v>
      </x:c>
      <x:c r="H76" s="35" t="n">
        <x:v>320</x:v>
      </x:c>
      <x:c r="I76" s="34" t="str">
        <x:v>Aktif</x:v>
      </x:c>
      <x:c r="J76" s="34"/>
      <x:c r="K76" s="34" t="str"/>
      <x:c r="L76" s="34" t="str"/>
      <x:c r="M76" s="34"/>
      <x:c r="N76" s="34" t="str">
        <x:v>19</x:v>
      </x:c>
      <x:c r="O76" s="34" t="str">
        <x:v>Ice Americano kavruk notaları büyütürken sade bir içim sağlar.</x:v>
      </x:c>
      <x:c r="P76" s="34" t="str"/>
      <x:c r="Q76" s="34" t="str"/>
    </x:row>
    <x:row r="77" ht="25" customHeight="1">
      <x:c r="A77" s="33" t="str">
        <x:v>Diğer</x:v>
      </x:c>
      <x:c r="B77" s="33" t="str">
        <x:v>sarjmatik</x:v>
      </x:c>
      <x:c r="C77" s="33" t="str">
        <x:v>Şarjmatik</x:v>
      </x:c>
      <x:c r="D77" s="33" t="n">
        <x:v>16</x:v>
      </x:c>
      <x:c r="E77" s="33" t="str">
        <x:v>76</x:v>
      </x:c>
      <x:c r="F77" s="33" t="str">
        <x:v>Şarjmatik</x:v>
      </x:c>
      <x:c r="G77" s="33" t="n">
        <x:v>1</x:v>
      </x:c>
      <x:c r="H77" s="35" t="n">
        <x:v>100</x:v>
      </x:c>
      <x:c r="I77" s="34" t="str">
        <x:v>Aktif</x:v>
      </x:c>
      <x:c r="J77" s="34"/>
      <x:c r="K77" s="34" t="str"/>
      <x:c r="L77" s="34" t="str"/>
      <x:c r="M77" s="34"/>
      <x:c r="N77" s="34" t="str">
        <x:v>12</x:v>
      </x:c>
      <x:c r="O77" s="34" t="str">
        <x:v>Bekleme süresine sakin ve uzun bir filtre kahve eşlik etsin.</x:v>
      </x:c>
      <x:c r="P77" s="34" t="str"/>
      <x:c r="Q77" s="34" t="str"/>
    </x:row>
  </x:sheetData>
  <x:conditionalFormatting sqref="I2:I77">
    <x:cfRule type="containsText" dxfId="2" priority="1" operator="containsText" text="Tükendi"/>
    <x:cfRule type="containsText" dxfId="3" priority="2" operator="containsText" text="Gizli"/>
  </x:conditionalFormatting>
  <x:conditionalFormatting sqref="H2:H77">
    <x:cfRule type="cellIs" dxfId="4" priority="3" operator="lessThanOrEqual">
      <x:formula>0</x:formula>
    </x:cfRule>
  </x:conditionalFormatting>
  <x:dataValidations count="2">
    <x:dataValidation type="list" sqref="I2:I77">
      <x:formula1>"Aktif,Tükendi,Gizli"</x:formula1>
    </x:dataValidation>
    <x:dataValidation type="whole" operator="between" sqref="M2:M77">
      <x:formula1>1</x:formula1>
      <x:formula2>4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56D5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11" hidden="0" customWidth="1"/>
    <x:col min="5" max="5" width="12" hidden="0" customWidth="1"/>
    <x:col min="6" max="6" width="12" hidden="0" customWidth="1"/>
    <x:col min="7" max="7" width="28" hidden="0" customWidth="1"/>
    <x:col min="8" max="8" width="48" hidden="0" customWidth="1"/>
    <x:col min="9" max="9" width="10" hidden="0" customWidth="1"/>
    <x:col min="10" max="10" width="28" hidden="0" customWidth="1"/>
  </x:cols>
  <x:sheetData>
    <x:row r="1" ht="25" customHeight="1">
      <x:c r="A1" s="30" t="str">
        <x:v>seri</x:v>
      </x:c>
      <x:c r="B1" s="30" t="str">
        <x:v>ürün_kodu</x:v>
      </x:c>
      <x:c r="C1" s="30" t="str">
        <x:v>ürün_adı</x:v>
      </x:c>
      <x:c r="D1" s="30" t="str">
        <x:v>fiyat</x:v>
      </x:c>
      <x:c r="E1" s="30" t="str">
        <x:v>durum</x:v>
      </x:c>
      <x:c r="F1" s="30" t="str">
        <x:v>renk</x:v>
      </x:c>
      <x:c r="G1" s="30" t="str">
        <x:v>etiketler</x:v>
      </x:c>
      <x:c r="H1" s="30" t="str">
        <x:v>açıklama</x:v>
      </x:c>
      <x:c r="I1" s="30" t="str">
        <x:v>sıra</x:v>
      </x:c>
      <x:c r="J1" s="30" t="str">
        <x:v>son_güncelleme_notu</x:v>
      </x:c>
    </x:row>
    <x:row r="2" ht="25" customHeight="1">
      <x:c r="A2" s="32" t="str">
        <x:v>Klasik</x:v>
      </x:c>
      <x:c r="B2" s="32" t="str">
        <x:v>love-66</x:v>
      </x:c>
      <x:c r="C2" s="32" t="str">
        <x:v>Love 66</x:v>
      </x:c>
      <x:c r="D2" s="35" t="n">
        <x:v>580</x:v>
      </x:c>
      <x:c r="E2" s="34" t="str">
        <x:v>Aktif</x:v>
      </x:c>
      <x:c r="F2" s="34" t="str">
        <x:v>#e76555</x:v>
      </x:c>
      <x:c r="G2" s="34" t="str">
        <x:v>Karpuz · Kavun · Çarkıfelek · Nane</x:v>
      </x:c>
      <x:c r="H2" s="34" t="str">
        <x:v>Tropik meyvelerle kavun ve karpuzun buluştuğu, sonunda ferahlık bırakan canlı bir profil.</x:v>
      </x:c>
      <x:c r="I2" s="34" t="n">
        <x:v>1</x:v>
      </x:c>
      <x:c r="J2" s="34" t="str"/>
    </x:row>
    <x:row r="3" ht="25" customHeight="1">
      <x:c r="A3" s="33" t="str">
        <x:v>Klasik</x:v>
      </x:c>
      <x:c r="B3" s="33" t="str">
        <x:v>lady</x:v>
      </x:c>
      <x:c r="C3" s="33" t="str">
        <x:v>Lady</x:v>
      </x:c>
      <x:c r="D3" s="35" t="n">
        <x:v>580</x:v>
      </x:c>
      <x:c r="E3" s="34" t="str">
        <x:v>Aktif</x:v>
      </x:c>
      <x:c r="F3" s="34" t="str">
        <x:v>#e99a45</x:v>
      </x:c>
      <x:c r="G3" s="34" t="str">
        <x:v>Mango · Şeftali · Nane · Buz</x:v>
      </x:c>
      <x:c r="H3" s="34" t="str">
        <x:v>Olgun mango ve şeftali karakterini serin bir bitişle dengeleyen tatlı tropik profil.</x:v>
      </x:c>
      <x:c r="I3" s="34" t="n">
        <x:v>2</x:v>
      </x:c>
      <x:c r="J3" s="34" t="str"/>
    </x:row>
    <x:row r="4" ht="25" customHeight="1">
      <x:c r="A4" s="32" t="str">
        <x:v>Klasik</x:v>
      </x:c>
      <x:c r="B4" s="32" t="str">
        <x:v>moscow</x:v>
      </x:c>
      <x:c r="C4" s="32" t="str">
        <x:v>Moscow</x:v>
      </x:c>
      <x:c r="D4" s="35" t="n">
        <x:v>580</x:v>
      </x:c>
      <x:c r="E4" s="34" t="str">
        <x:v>Aktif</x:v>
      </x:c>
      <x:c r="F4" s="34" t="str">
        <x:v>#7d5ba6</x:v>
      </x:c>
      <x:c r="G4" s="34" t="str">
        <x:v>Muz · Orman meyveleri · Mentol</x:v>
      </x:c>
      <x:c r="H4" s="34" t="str">
        <x:v>Muzun yumuşak tatlılığı, koyu orman meyveleri ve belirgin serinlikle tamamlanır.</x:v>
      </x:c>
      <x:c r="I4" s="34" t="n">
        <x:v>3</x:v>
      </x:c>
      <x:c r="J4" s="34" t="str"/>
    </x:row>
    <x:row r="5" ht="25" customHeight="1">
      <x:c r="A5" s="33" t="str">
        <x:v>Klasik</x:v>
      </x:c>
      <x:c r="B5" s="33" t="str">
        <x:v>anason</x:v>
      </x:c>
      <x:c r="C5" s="33" t="str">
        <x:v>Anason</x:v>
      </x:c>
      <x:c r="D5" s="35" t="n">
        <x:v>580</x:v>
      </x:c>
      <x:c r="E5" s="34" t="str">
        <x:v>Aktif</x:v>
      </x:c>
      <x:c r="F5" s="34" t="str">
        <x:v>#81915a</x:v>
      </x:c>
      <x:c r="G5" s="34" t="str">
        <x:v>Anason · Baharatlı · Klasik</x:v>
      </x:c>
      <x:c r="H5" s="34" t="str">
        <x:v>Belirgin anason karakterine sahip, aromatik ve geleneksel bir seçim.</x:v>
      </x:c>
      <x:c r="I5" s="34" t="n">
        <x:v>4</x:v>
      </x:c>
      <x:c r="J5" s="34" t="str"/>
    </x:row>
    <x:row r="6" ht="25" customHeight="1">
      <x:c r="A6" s="32" t="str">
        <x:v>Klasik</x:v>
      </x:c>
      <x:c r="B6" s="32" t="str">
        <x:v>uzum</x:v>
      </x:c>
      <x:c r="C6" s="32" t="str">
        <x:v>Üzüm</x:v>
      </x:c>
      <x:c r="D6" s="35" t="n">
        <x:v>580</x:v>
      </x:c>
      <x:c r="E6" s="34" t="str">
        <x:v>Aktif</x:v>
      </x:c>
      <x:c r="F6" s="34" t="str">
        <x:v>#74547e</x:v>
      </x:c>
      <x:c r="G6" s="34" t="str">
        <x:v>Üzüm · Meyvemsi · Tatlı</x:v>
      </x:c>
      <x:c r="H6" s="34" t="str">
        <x:v>Olgun üzümün dolgun ve temiz meyve karakterini öne çıkaran sade profil.</x:v>
      </x:c>
      <x:c r="I6" s="34" t="n">
        <x:v>5</x:v>
      </x:c>
      <x:c r="J6" s="34" t="str"/>
    </x:row>
    <x:row r="7" ht="25" customHeight="1">
      <x:c r="A7" s="33" t="str">
        <x:v>Klasik</x:v>
      </x:c>
      <x:c r="B7" s="33" t="str">
        <x:v>izmir-romantik</x:v>
      </x:c>
      <x:c r="C7" s="33" t="str">
        <x:v>İzmir Romantik</x:v>
      </x:c>
      <x:c r="D7" s="35" t="n">
        <x:v>580</x:v>
      </x:c>
      <x:c r="E7" s="34" t="str">
        <x:v>Aktif</x:v>
      </x:c>
      <x:c r="F7" s="34" t="str">
        <x:v>#ee6d68</x:v>
      </x:c>
      <x:c r="G7" s="34" t="str">
        <x:v>Karpuz · Çilek · Portakal · Nane</x:v>
      </x:c>
      <x:c r="H7" s="34" t="str">
        <x:v>Karpuz ve çileğe narenciye canlılığı ile hafif nane ferahlığı ekleyen renkli karışım.</x:v>
      </x:c>
      <x:c r="I7" s="34" t="n">
        <x:v>6</x:v>
      </x:c>
      <x:c r="J7" s="34" t="str"/>
    </x:row>
    <x:row r="8" ht="25" customHeight="1">
      <x:c r="A8" s="32" t="str">
        <x:v>Klasik</x:v>
      </x:c>
      <x:c r="B8" s="32" t="str">
        <x:v>kola</x:v>
      </x:c>
      <x:c r="C8" s="32" t="str">
        <x:v>Kola</x:v>
      </x:c>
      <x:c r="D8" s="35" t="n">
        <x:v>580</x:v>
      </x:c>
      <x:c r="E8" s="34" t="str">
        <x:v>Aktif</x:v>
      </x:c>
      <x:c r="F8" s="34" t="str">
        <x:v>#87513c</x:v>
      </x:c>
      <x:c r="G8" s="34" t="str">
        <x:v>Kola · Baharat · Karamel</x:v>
      </x:c>
      <x:c r="H8" s="34" t="str">
        <x:v>Kola baharatlarını karamelimsi bir tatlılıkla veren tanıdık ve yoğun profil.</x:v>
      </x:c>
      <x:c r="I8" s="34" t="n">
        <x:v>7</x:v>
      </x:c>
      <x:c r="J8" s="34" t="str"/>
    </x:row>
    <x:row r="9" ht="25" customHeight="1">
      <x:c r="A9" s="33" t="str">
        <x:v>Klasik</x:v>
      </x:c>
      <x:c r="B9" s="33" t="str">
        <x:v>dejavu</x:v>
      </x:c>
      <x:c r="C9" s="33" t="str">
        <x:v>Dejavu</x:v>
      </x:c>
      <x:c r="D9" s="35" t="n">
        <x:v>580</x:v>
      </x:c>
      <x:c r="E9" s="34" t="str">
        <x:v>Aktif</x:v>
      </x:c>
      <x:c r="F9" s="34" t="str">
        <x:v>#da768e</x:v>
      </x:c>
      <x:c r="G9" s="34" t="str">
        <x:v>Meyve kokteyli · Tatlı · Ferah</x:v>
      </x:c>
      <x:c r="H9" s="34" t="str">
        <x:v>Tatlı meyve kokteyli karakteri ve dengeli ferahlığıyla yumuşak içimli bir imza seçimi.</x:v>
      </x:c>
      <x:c r="I9" s="34" t="n">
        <x:v>8</x:v>
      </x:c>
      <x:c r="J9" s="34" t="str"/>
    </x:row>
    <x:row r="10" ht="25" customHeight="1">
      <x:c r="A10" s="32" t="str">
        <x:v>Klasik</x:v>
      </x:c>
      <x:c r="B10" s="32" t="str">
        <x:v>karpuz</x:v>
      </x:c>
      <x:c r="C10" s="32" t="str">
        <x:v>Karpuz</x:v>
      </x:c>
      <x:c r="D10" s="35" t="n">
        <x:v>580</x:v>
      </x:c>
      <x:c r="E10" s="34" t="str">
        <x:v>Aktif</x:v>
      </x:c>
      <x:c r="F10" s="34" t="str">
        <x:v>#e9525f</x:v>
      </x:c>
      <x:c r="G10" s="34" t="str">
        <x:v>Karpuz · Sulu · Yaz</x:v>
      </x:c>
      <x:c r="H10" s="34" t="str">
        <x:v>Olgun karpuzun sulu, hafif ve yazlık karakterini doğrudan öne çıkarır.</x:v>
      </x:c>
      <x:c r="I10" s="34" t="n">
        <x:v>9</x:v>
      </x:c>
      <x:c r="J10" s="34" t="str"/>
    </x:row>
    <x:row r="11" ht="25" customHeight="1">
      <x:c r="A11" s="33" t="str">
        <x:v>Klasik</x:v>
      </x:c>
      <x:c r="B11" s="33" t="str">
        <x:v>pismis-seftali</x:v>
      </x:c>
      <x:c r="C11" s="33" t="str">
        <x:v>Pişmiş Şeftali</x:v>
      </x:c>
      <x:c r="D11" s="35" t="n">
        <x:v>580</x:v>
      </x:c>
      <x:c r="E11" s="34" t="str">
        <x:v>Aktif</x:v>
      </x:c>
      <x:c r="F11" s="34" t="str">
        <x:v>#e88b5c</x:v>
      </x:c>
      <x:c r="G11" s="34" t="str">
        <x:v>Şeftali · Karamelize · Tatlı</x:v>
      </x:c>
      <x:c r="H11" s="34" t="str">
        <x:v>Şeftalinin sıcak, yoğun ve hafif karamelize edilmiş tatlı yönünü taşır.</x:v>
      </x:c>
      <x:c r="I11" s="34" t="n">
        <x:v>10</x:v>
      </x:c>
      <x:c r="J11" s="34" t="str"/>
    </x:row>
    <x:row r="12" ht="25" customHeight="1">
      <x:c r="A12" s="32" t="str">
        <x:v>Klasik</x:v>
      </x:c>
      <x:c r="B12" s="32" t="str">
        <x:v>turkish-mastic</x:v>
      </x:c>
      <x:c r="C12" s="32" t="str">
        <x:v>Turkish Mastic</x:v>
      </x:c>
      <x:c r="D12" s="35" t="n">
        <x:v>580</x:v>
      </x:c>
      <x:c r="E12" s="34" t="str">
        <x:v>Aktif</x:v>
      </x:c>
      <x:c r="F12" s="34" t="str">
        <x:v>#75a990</x:v>
      </x:c>
      <x:c r="G12" s="34" t="str">
        <x:v>Damla sakızı · Bitkisel · Ferah</x:v>
      </x:c>
      <x:c r="H12" s="34" t="str">
        <x:v>Damla sakızının reçinemsi, temiz ve kendine özgü ferah karakteri.</x:v>
      </x:c>
      <x:c r="I12" s="34" t="n">
        <x:v>11</x:v>
      </x:c>
      <x:c r="J12" s="34" t="str"/>
    </x:row>
    <x:row r="13" ht="25" customHeight="1">
      <x:c r="A13" s="33" t="str">
        <x:v>Klasik</x:v>
      </x:c>
      <x:c r="B13" s="33" t="str">
        <x:v>miamor</x:v>
      </x:c>
      <x:c r="C13" s="33" t="str">
        <x:v>Miamor</x:v>
      </x:c>
      <x:c r="D13" s="35" t="n">
        <x:v>580</x:v>
      </x:c>
      <x:c r="E13" s="34" t="str">
        <x:v>Aktif</x:v>
      </x:c>
      <x:c r="F13" s="34" t="str">
        <x:v>#e7bc42</x:v>
      </x:c>
      <x:c r="G13" s="34" t="str">
        <x:v>Muz · Ananas · Nane</x:v>
      </x:c>
      <x:c r="H13" s="34" t="str">
        <x:v>Muz ve ananasın tropik tatlılığını hafif nane ferahlığıyla birleştirir.</x:v>
      </x:c>
      <x:c r="I13" s="34" t="n">
        <x:v>12</x:v>
      </x:c>
      <x:c r="J13" s="34" t="str"/>
    </x:row>
    <x:row r="14" ht="25" customHeight="1">
      <x:c r="A14" s="32" t="str">
        <x:v>Klasik</x:v>
      </x:c>
      <x:c r="B14" s="32" t="str">
        <x:v>yaban-mersini</x:v>
      </x:c>
      <x:c r="C14" s="32" t="str">
        <x:v>Yaban Mersini</x:v>
      </x:c>
      <x:c r="D14" s="35" t="n">
        <x:v>580</x:v>
      </x:c>
      <x:c r="E14" s="34" t="str">
        <x:v>Aktif</x:v>
      </x:c>
      <x:c r="F14" s="34" t="str">
        <x:v>#5366a8</x:v>
      </x:c>
      <x:c r="G14" s="34" t="str">
        <x:v>Yaban mersini · Mayhoş · Meyvemsi</x:v>
      </x:c>
      <x:c r="H14" s="34" t="str">
        <x:v>Yaban mersininin koyu, hafif mayhoş ve aromatik meyve karakteri.</x:v>
      </x:c>
      <x:c r="I14" s="34" t="n">
        <x:v>13</x:v>
      </x:c>
      <x:c r="J14" s="34" t="str"/>
    </x:row>
    <x:row r="15" ht="25" customHeight="1">
      <x:c r="A15" s="33" t="str">
        <x:v>Klasik</x:v>
      </x:c>
      <x:c r="B15" s="33" t="str">
        <x:v>ananas</x:v>
      </x:c>
      <x:c r="C15" s="33" t="str">
        <x:v>Ananas</x:v>
      </x:c>
      <x:c r="D15" s="35" t="n">
        <x:v>580</x:v>
      </x:c>
      <x:c r="E15" s="34" t="str">
        <x:v>Aktif</x:v>
      </x:c>
      <x:c r="F15" s="34" t="str">
        <x:v>#e9b83f</x:v>
      </x:c>
      <x:c r="G15" s="34" t="str">
        <x:v>Ananas · Tropik · Canlı</x:v>
      </x:c>
      <x:c r="H15" s="34" t="str">
        <x:v>Tatlı ve hafif ekşi ananas notalarıyla parlak bir tropik profil.</x:v>
      </x:c>
      <x:c r="I15" s="34" t="n">
        <x:v>14</x:v>
      </x:c>
      <x:c r="J15" s="34" t="str"/>
    </x:row>
    <x:row r="16" ht="25" customHeight="1">
      <x:c r="A16" s="32" t="str">
        <x:v>Klasik</x:v>
      </x:c>
      <x:c r="B16" s="32" t="str">
        <x:v>cilek</x:v>
      </x:c>
      <x:c r="C16" s="32" t="str">
        <x:v>Çilek</x:v>
      </x:c>
      <x:c r="D16" s="35" t="n">
        <x:v>580</x:v>
      </x:c>
      <x:c r="E16" s="34" t="str">
        <x:v>Aktif</x:v>
      </x:c>
      <x:c r="F16" s="34" t="str">
        <x:v>#dc4f61</x:v>
      </x:c>
      <x:c r="G16" s="34" t="str">
        <x:v>Çilek · Tatlı · Meyvemsi</x:v>
      </x:c>
      <x:c r="H16" s="34" t="str">
        <x:v>Olgun çileğin yumuşak, tatlı ve kolay tanınan meyve karakteri.</x:v>
      </x:c>
      <x:c r="I16" s="34" t="n">
        <x:v>15</x:v>
      </x:c>
      <x:c r="J16" s="34" t="str"/>
    </x:row>
    <x:row r="17" ht="25" customHeight="1">
      <x:c r="A17" s="33" t="str">
        <x:v>Klasik</x:v>
      </x:c>
      <x:c r="B17" s="33" t="str">
        <x:v>tatli-cadi</x:v>
      </x:c>
      <x:c r="C17" s="33" t="str">
        <x:v>Tatlı Cadı</x:v>
      </x:c>
      <x:c r="D17" s="35" t="n">
        <x:v>580</x:v>
      </x:c>
      <x:c r="E17" s="34" t="str">
        <x:v>Aktif</x:v>
      </x:c>
      <x:c r="F17" s="34" t="str">
        <x:v>#bd5d87</x:v>
      </x:c>
      <x:c r="G17" s="34" t="str">
        <x:v>Kırmızı meyve · Şekerli · Yumuşak</x:v>
      </x:c>
      <x:c r="H17" s="34" t="str">
        <x:v>Kırmızı meyveleri şekerli ve yumuşak bir karakterde buluşturan Zoi seçimi.</x:v>
      </x:c>
      <x:c r="I17" s="34" t="n">
        <x:v>16</x:v>
      </x:c>
      <x:c r="J17" s="34" t="str"/>
    </x:row>
    <x:row r="18" ht="25" customHeight="1">
      <x:c r="A18" s="32" t="str">
        <x:v>Dark</x:v>
      </x:c>
      <x:c r="B18" s="32" t="str">
        <x:v>pinkman</x:v>
      </x:c>
      <x:c r="C18" s="32" t="str">
        <x:v>Pinkman</x:v>
      </x:c>
      <x:c r="D18" s="35" t="n">
        <x:v>650</x:v>
      </x:c>
      <x:c r="E18" s="34" t="str">
        <x:v>Aktif</x:v>
      </x:c>
      <x:c r="F18" s="34" t="str">
        <x:v>#e54d74</x:v>
      </x:c>
      <x:c r="G18" s="34" t="str">
        <x:v>Greyfurt · Çilek · Ahududu</x:v>
      </x:c>
      <x:c r="H18" s="34" t="str">
        <x:v>Greyfurtun narenciye keskinliğini çilek ve ahududunun tatlı ekşiliğiyle birleştiren yoğun profil.</x:v>
      </x:c>
      <x:c r="I18" s="34" t="n">
        <x:v>17</x:v>
      </x:c>
      <x:c r="J18" s="34" t="str"/>
    </x:row>
    <x:row r="19" ht="25" customHeight="1">
      <x:c r="A19" s="33" t="str">
        <x:v>Dark</x:v>
      </x:c>
      <x:c r="B19" s="33" t="str">
        <x:v>vanilla</x:v>
      </x:c>
      <x:c r="C19" s="33" t="str">
        <x:v>Vanilla</x:v>
      </x:c>
      <x:c r="D19" s="35" t="n">
        <x:v>650</x:v>
      </x:c>
      <x:c r="E19" s="34" t="str">
        <x:v>Aktif</x:v>
      </x:c>
      <x:c r="F19" s="34" t="str">
        <x:v>#e3c78e</x:v>
      </x:c>
      <x:c r="G19" s="34" t="str">
        <x:v>Vanilya · Kremsi · Yumuşak</x:v>
      </x:c>
      <x:c r="H19" s="34" t="str">
        <x:v>Kremsi vanilya karakteriyle sıcak, yuvarlak ve tatlı bir profil.</x:v>
      </x:c>
      <x:c r="I19" s="34" t="n">
        <x:v>18</x:v>
      </x:c>
      <x:c r="J19" s="34" t="str"/>
    </x:row>
    <x:row r="20" ht="25" customHeight="1">
      <x:c r="A20" s="32" t="str">
        <x:v>Dark</x:v>
      </x:c>
      <x:c r="B20" s="32" t="str">
        <x:v>cookie</x:v>
      </x:c>
      <x:c r="C20" s="32" t="str">
        <x:v>Cookie</x:v>
      </x:c>
      <x:c r="D20" s="35" t="n">
        <x:v>650</x:v>
      </x:c>
      <x:c r="E20" s="34" t="str">
        <x:v>Aktif</x:v>
      </x:c>
      <x:c r="F20" s="34" t="str">
        <x:v>#b77948</x:v>
      </x:c>
      <x:c r="G20" s="34" t="str">
        <x:v>Kurabiye · Tereyağlı · Tatlı</x:v>
      </x:c>
      <x:c r="H20" s="34" t="str">
        <x:v>Fırından çıkmış kurabiye hissi veren tereyağlı ve belirgin tatlı karakter.</x:v>
      </x:c>
      <x:c r="I20" s="34" t="n">
        <x:v>19</x:v>
      </x:c>
      <x:c r="J20" s="34" t="str"/>
    </x:row>
    <x:row r="21" ht="25" customHeight="1">
      <x:c r="A21" s="33" t="str">
        <x:v>Dark</x:v>
      </x:c>
      <x:c r="B21" s="33" t="str">
        <x:v>forest-berry</x:v>
      </x:c>
      <x:c r="C21" s="33" t="str">
        <x:v>Forest Berry</x:v>
      </x:c>
      <x:c r="D21" s="35" t="n">
        <x:v>650</x:v>
      </x:c>
      <x:c r="E21" s="34" t="str">
        <x:v>Aktif</x:v>
      </x:c>
      <x:c r="F21" s="34" t="str">
        <x:v>#76446f</x:v>
      </x:c>
      <x:c r="G21" s="34" t="str">
        <x:v>Orman meyveleri · Mayhoş · Yoğun</x:v>
      </x:c>
      <x:c r="H21" s="34" t="str">
        <x:v>Koyu orman meyvelerinin tatlı ve mayhoş taraflarını yoğun bir gövdede toplar.</x:v>
      </x:c>
      <x:c r="I21" s="34" t="n">
        <x:v>20</x:v>
      </x:c>
      <x:c r="J21" s="34" t="str"/>
    </x:row>
    <x:row r="22" ht="25" customHeight="1">
      <x:c r="A22" s="32" t="str">
        <x:v>Dark</x:v>
      </x:c>
      <x:c r="B22" s="32" t="str">
        <x:v>nutella</x:v>
      </x:c>
      <x:c r="C22" s="32" t="str">
        <x:v>Nutella</x:v>
      </x:c>
      <x:c r="D22" s="35" t="n">
        <x:v>650</x:v>
      </x:c>
      <x:c r="E22" s="34" t="str">
        <x:v>Aktif</x:v>
      </x:c>
      <x:c r="F22" s="34" t="str">
        <x:v>#8d593d</x:v>
      </x:c>
      <x:c r="G22" s="34" t="str">
        <x:v>Fındık · Kakao · Kremsi</x:v>
      </x:c>
      <x:c r="H22" s="34" t="str">
        <x:v>Kakao ve fındık notalarını kremsi, tatlı ve dolgun bir karakterde sunar.</x:v>
      </x:c>
      <x:c r="I22" s="34" t="n">
        <x:v>21</x:v>
      </x:c>
      <x:c r="J22" s="34" t="str"/>
    </x:row>
    <x:row r="23" ht="25" customHeight="1">
      <x:c r="A23" s="33" t="str">
        <x:v>Dark</x:v>
      </x:c>
      <x:c r="B23" s="33" t="str">
        <x:v>ahududu</x:v>
      </x:c>
      <x:c r="C23" s="33" t="str">
        <x:v>Ahududu</x:v>
      </x:c>
      <x:c r="D23" s="35" t="n">
        <x:v>650</x:v>
      </x:c>
      <x:c r="E23" s="34" t="str">
        <x:v>Aktif</x:v>
      </x:c>
      <x:c r="F23" s="34" t="str">
        <x:v>#c83f67</x:v>
      </x:c>
      <x:c r="G23" s="34" t="str">
        <x:v>Ahududu · Ekşi tatlı · Canlı</x:v>
      </x:c>
      <x:c r="H23" s="34" t="str">
        <x:v>Ahududunun belirgin ekşi tatlı dengesini canlı ve yoğun şekilde öne çıkarır.</x:v>
      </x:c>
      <x:c r="I23" s="34" t="n">
        <x:v>22</x:v>
      </x:c>
      <x:c r="J23" s="34" t="str"/>
    </x:row>
    <x:row r="24" ht="25" customHeight="1">
      <x:c r="A24" s="32" t="str">
        <x:v>Dark</x:v>
      </x:c>
      <x:c r="B24" s="32" t="str">
        <x:v>brownie</x:v>
      </x:c>
      <x:c r="C24" s="32" t="str">
        <x:v>Brownie</x:v>
      </x:c>
      <x:c r="D24" s="35" t="n">
        <x:v>650</x:v>
      </x:c>
      <x:c r="E24" s="34" t="str">
        <x:v>Aktif</x:v>
      </x:c>
      <x:c r="F24" s="34" t="str">
        <x:v>#6d4638</x:v>
      </x:c>
      <x:c r="G24" s="34" t="str">
        <x:v>Kakao · Kek · Yoğun</x:v>
      </x:c>
      <x:c r="H24" s="34" t="str">
        <x:v>Yoğun kakao ve sıcak kek notalarıyla tok bir tatlı profili.</x:v>
      </x:c>
      <x:c r="I24" s="34" t="n">
        <x:v>23</x:v>
      </x:c>
      <x:c r="J24" s="34" t="str"/>
    </x:row>
    <x:row r="25" ht="25" customHeight="1">
      <x:c r="A25" s="33" t="str">
        <x:v>Dark</x:v>
      </x:c>
      <x:c r="B25" s="33" t="str">
        <x:v>ananas-gofret</x:v>
      </x:c>
      <x:c r="C25" s="33" t="str">
        <x:v>Ananas Gofret</x:v>
      </x:c>
      <x:c r="D25" s="35" t="n">
        <x:v>650</x:v>
      </x:c>
      <x:c r="E25" s="34" t="str">
        <x:v>Aktif</x:v>
      </x:c>
      <x:c r="F25" s="34" t="str">
        <x:v>#d8a443</x:v>
      </x:c>
      <x:c r="G25" s="34" t="str">
        <x:v>Ananas · Gofret · Kremsi</x:v>
      </x:c>
      <x:c r="H25" s="34" t="str">
        <x:v>Canlı ananası kremalı gofret karakteriyle buluşturan tropik tatlı profili.</x:v>
      </x:c>
      <x:c r="I25" s="34" t="n">
        <x:v>24</x:v>
      </x:c>
      <x:c r="J25" s="34" t="str"/>
    </x:row>
    <x:row r="26" ht="25" customHeight="1">
      <x:c r="A26" s="32" t="str">
        <x:v>Dark</x:v>
      </x:c>
      <x:c r="B26" s="32" t="str">
        <x:v>ananas-buz</x:v>
      </x:c>
      <x:c r="C26" s="32" t="str">
        <x:v>Ananas Buz</x:v>
      </x:c>
      <x:c r="D26" s="35" t="n">
        <x:v>650</x:v>
      </x:c>
      <x:c r="E26" s="34" t="str">
        <x:v>Aktif</x:v>
      </x:c>
      <x:c r="F26" s="34" t="str">
        <x:v>#5eb8a5</x:v>
      </x:c>
      <x:c r="G26" s="34" t="str">
        <x:v>Ananas · Buz · Ferah</x:v>
      </x:c>
      <x:c r="H26" s="34" t="str">
        <x:v>Ananasın tatlı ekşi canlılığını güçlü bir serinlikle tamamlar.</x:v>
      </x:c>
      <x:c r="I26" s="34" t="n">
        <x:v>25</x:v>
      </x:c>
      <x:c r="J26" s="34" t="str"/>
    </x:row>
  </x:sheetData>
  <x:conditionalFormatting sqref="E2:E26">
    <x:cfRule type="containsText" dxfId="5" priority="1" operator="containsText" text="Tükendi"/>
    <x:cfRule type="containsText" dxfId="6" priority="2" operator="containsText" text="Gizli"/>
  </x:conditionalFormatting>
  <x:dataValidations count="1">
    <x:dataValidation type="list" sqref="E2:E26">
      <x:formula1>"Aktif,Tükendi,Gizli"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8C9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14" hidden="0" customWidth="1"/>
    <x:col min="4" max="4" width="12" hidden="0" customWidth="1"/>
    <x:col min="5" max="5" width="48" hidden="0" customWidth="1"/>
  </x:cols>
  <x:sheetData>
    <x:row r="1" ht="25" customHeight="1">
      <x:c r="A1" s="30" t="str">
        <x:v>ayar_kodu</x:v>
      </x:c>
      <x:c r="B1" s="30" t="str">
        <x:v>görünen_ad</x:v>
      </x:c>
      <x:c r="C1" s="30" t="str">
        <x:v>değer</x:v>
      </x:c>
      <x:c r="D1" s="30" t="str">
        <x:v>birim</x:v>
      </x:c>
      <x:c r="E1" s="30" t="str">
        <x:v>açıklama</x:v>
      </x:c>
    </x:row>
    <x:row r="2" ht="25" customHeight="1">
      <x:c r="A2" s="32" t="str">
        <x:v>klasik_fiyat</x:v>
      </x:c>
      <x:c r="B2" s="32" t="str">
        <x:v>Klasik nargile</x:v>
      </x:c>
      <x:c r="C2" s="36" t="n">
        <x:v>580</x:v>
      </x:c>
      <x:c r="D2" s="32" t="str">
        <x:v>₺</x:v>
      </x:c>
      <x:c r="E2" s="32" t="str">
        <x:v>Klasik seri taban fiyatı</x:v>
      </x:c>
    </x:row>
    <x:row r="3" ht="25" customHeight="1">
      <x:c r="A3" s="33" t="str">
        <x:v>dark_fiyat</x:v>
      </x:c>
      <x:c r="B3" s="33" t="str">
        <x:v>Dark nargile</x:v>
      </x:c>
      <x:c r="C3" s="36" t="n">
        <x:v>650</x:v>
      </x:c>
      <x:c r="D3" s="33" t="str">
        <x:v>₺</x:v>
      </x:c>
      <x:c r="E3" s="33" t="str">
        <x:v>Dark seri taban fiyatı</x:v>
      </x:c>
    </x:row>
    <x:row r="4" ht="25" customHeight="1">
      <x:c r="A4" s="32" t="str">
        <x:v>kafa_degisim</x:v>
      </x:c>
      <x:c r="B4" s="32" t="str">
        <x:v>Kafa değişimi</x:v>
      </x:c>
      <x:c r="C4" s="36" t="n">
        <x:v>450</x:v>
      </x:c>
      <x:c r="D4" s="32" t="str">
        <x:v>₺</x:v>
      </x:c>
      <x:c r="E4" s="32" t="str">
        <x:v>Servis seçeneği</x:v>
      </x:c>
    </x:row>
    <x:row r="5" ht="25" customHeight="1">
      <x:c r="A5" s="33" t="str">
        <x:v>buzlu_marpuc</x:v>
      </x:c>
      <x:c r="B5" s="33" t="str">
        <x:v>Buzlu marpuç</x:v>
      </x:c>
      <x:c r="C5" s="36" t="n">
        <x:v>75</x:v>
      </x:c>
      <x:c r="D5" s="33" t="str">
        <x:v>₺</x:v>
      </x:c>
      <x:c r="E5" s="33" t="str">
        <x:v>Servis seçeneği ek fiyatı</x:v>
      </x:c>
    </x:row>
    <x:row r="6" ht="25" customHeight="1">
      <x:c r="A6" s="32" t="str">
        <x:v>maks_aroma</x:v>
      </x:c>
      <x:c r="B6" s="32" t="str">
        <x:v>Maksimum aroma</x:v>
      </x:c>
      <x:c r="C6" s="36" t="n">
        <x:v>2</x:v>
      </x:c>
      <x:c r="D6" s="32" t="str">
        <x:v>adet</x:v>
      </x:c>
      <x:c r="E6" s="32" t="str">
        <x:v>Müşterinin seçebileceği en fazla aroma</x:v>
      </x:c>
    </x:row>
  </x:sheetData>
  <x:pageMargins left="0.7" right="0.7" top="0.75" bottom="0.75" header="0.3" footer="0.3"/>
</x:worksheet>
</file>